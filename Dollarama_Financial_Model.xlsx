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s &amp; Ratios" sheetId="2" state="visible" r:id="rId2"/>
    <sheet xmlns:r="http://schemas.openxmlformats.org/officeDocument/2006/relationships" name="Forecast &amp; 3-Statement" sheetId="3" state="visible" r:id="rId3"/>
    <sheet xmlns:r="http://schemas.openxmlformats.org/officeDocument/2006/relationships" name="DCF &amp; Sensitivity" sheetId="4" state="visible" r:id="rId4"/>
    <sheet xmlns:r="http://schemas.openxmlformats.org/officeDocument/2006/relationships" name="Com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55555"/>
    </font>
    <font>
      <color rgb="00111111"/>
      <sz val="11"/>
    </font>
    <font>
      <b val="1"/>
      <color rgb="00FFFFFF"/>
      <sz val="11"/>
    </font>
    <font>
      <b val="1"/>
      <color rgb="0011111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2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0" fontId="4" fillId="2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  <xf numFmtId="3" fontId="3" fillId="3" borderId="0" applyAlignment="1" pivotButton="0" quotePrefix="0" xfId="0">
      <alignment horizontal="right"/>
    </xf>
    <xf numFmtId="2" fontId="3" fillId="3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Dollarama Inc. (TSX: DOL) — Financial Model &amp; Valuation</t>
        </is>
      </c>
    </row>
    <row r="2">
      <c r="A2" s="2" t="inlineStr">
        <is>
          <t>Prepared by Munzeleen Sarwar  •  October 2026  •  Educational portfolio project — not investment advice</t>
        </is>
      </c>
    </row>
    <row r="4">
      <c r="A4" s="3" t="inlineStr"/>
      <c r="B4" s="3" t="inlineStr"/>
    </row>
    <row r="5">
      <c r="A5" s="4" t="inlineStr">
        <is>
          <t>CONTENTS</t>
        </is>
      </c>
      <c r="B5" s="5" t="n"/>
      <c r="C5" s="5" t="n"/>
      <c r="D5" s="5" t="n"/>
    </row>
    <row r="6">
      <c r="A6" s="6" t="inlineStr">
        <is>
          <t>Historicals &amp; Ratios</t>
        </is>
      </c>
      <c r="B6" s="3" t="inlineStr">
        <is>
          <t>FY2022–FY2026 financials from Dollarama's filed statements (via StockAnalysis.com) with computed ratios</t>
        </is>
      </c>
    </row>
    <row r="7">
      <c r="A7" s="6" t="inlineStr">
        <is>
          <t>Forecast &amp; 3-Statement</t>
        </is>
      </c>
      <c r="B7" s="3" t="inlineStr">
        <is>
          <t>Integrated income statement, condensed balance sheet and cash-flow summary, FY2027E–FY2031E, driven by explicit assumptions</t>
        </is>
      </c>
    </row>
    <row r="8">
      <c r="A8" s="6" t="inlineStr">
        <is>
          <t>DCF &amp; Sensitivity</t>
        </is>
      </c>
      <c r="B8" s="3" t="inlineStr">
        <is>
          <t>Free-cash-flow-to-firm DCF, WACC build, sensitivity grid and valuation football field</t>
        </is>
      </c>
    </row>
    <row r="9">
      <c r="A9" s="6" t="inlineStr">
        <is>
          <t>Comps</t>
        </is>
      </c>
      <c r="B9" s="3" t="inlineStr">
        <is>
          <t>Trading comparables: North American value retail and Canadian food/convenience retail, October 2026</t>
        </is>
      </c>
    </row>
    <row r="10">
      <c r="A10" s="3" t="inlineStr"/>
      <c r="B10" s="3" t="inlineStr"/>
    </row>
    <row r="11">
      <c r="A11" s="4" t="inlineStr">
        <is>
          <t>KEY OUTPUTS (live from DCF sheet)</t>
        </is>
      </c>
      <c r="B11" s="5" t="n"/>
      <c r="C11" s="5" t="n"/>
      <c r="D11" s="5" t="n"/>
    </row>
    <row r="12">
      <c r="A12" s="6" t="inlineStr">
        <is>
          <t>DCF implied share price (CAD)</t>
        </is>
      </c>
      <c r="B12" s="7">
        <f>'DCF &amp; Sensitivity'!B31</f>
        <v/>
      </c>
    </row>
    <row r="13">
      <c r="A13" s="6" t="inlineStr">
        <is>
          <t>Share price, 21 Oct 2026 close (CAD)</t>
        </is>
      </c>
      <c r="B13" s="7" t="n">
        <v>204.59</v>
      </c>
    </row>
    <row r="14">
      <c r="A14" s="6" t="inlineStr">
        <is>
          <t>Implied upside / (downside)</t>
        </is>
      </c>
      <c r="B14" s="8">
        <f>'DCF &amp; Sensitivity'!B32</f>
        <v/>
      </c>
    </row>
    <row r="15">
      <c r="A15" s="6" t="inlineStr">
        <is>
          <t>Recommendation implied by base case</t>
        </is>
      </c>
      <c r="B15" s="3" t="inlineStr">
        <is>
          <t>HOLD — a high-quality compounder priced at a premium to base-case value</t>
        </is>
      </c>
    </row>
    <row r="16">
      <c r="A16" s="3" t="inlineStr"/>
      <c r="B16" s="3" t="inlineStr"/>
    </row>
    <row r="17">
      <c r="A17" s="4" t="inlineStr">
        <is>
          <t>METHOD NOTES</t>
        </is>
      </c>
      <c r="B17" s="5" t="n"/>
      <c r="C17" s="5" t="n"/>
      <c r="D17" s="5" t="n"/>
    </row>
    <row r="18">
      <c r="A18" s="6" t="inlineStr">
        <is>
          <t>Leases (IFRS 16)</t>
        </is>
      </c>
      <c r="B18" s="3" t="inlineStr">
        <is>
          <t>FCFF is calculated before lease payments; total debt in the bridge includes lease liabilities (FY2026: $5,396M incl. $2,771M leases)</t>
        </is>
      </c>
    </row>
    <row r="19">
      <c r="A19" s="6" t="inlineStr">
        <is>
          <t>WACC inputs</t>
        </is>
      </c>
      <c r="B19" s="3" t="inlineStr">
        <is>
          <t>Risk-free rate, beta and equity risk premium are stated assumptions on the DCF sheet (beta is an analyst assumption for a defensive retailer, not a fetched figure)</t>
        </is>
      </c>
    </row>
    <row r="20">
      <c r="A20" s="6" t="inlineStr">
        <is>
          <t>Equity base</t>
        </is>
      </c>
      <c r="B20" s="3" t="inlineStr">
        <is>
          <t>Dollarama's book equity is small (and was negative in FY2022–23) because of large buybacks — ROE is not meaningful and is excluded; ROA and margins are used instead</t>
        </is>
      </c>
    </row>
    <row r="21">
      <c r="A21" s="6" t="inlineStr">
        <is>
          <t>Data check</t>
        </is>
      </c>
      <c r="B21" s="3" t="inlineStr">
        <is>
          <t>All historical totals are as reported by the data source; check Dollarama's SEDAR+ filings before any investment use</t>
        </is>
      </c>
    </row>
  </sheetData>
  <mergeCells count="12">
    <mergeCell ref="B9:E9"/>
    <mergeCell ref="B18:E18"/>
    <mergeCell ref="B8:E8"/>
    <mergeCell ref="B4:E4"/>
    <mergeCell ref="B6:E6"/>
    <mergeCell ref="B21:E21"/>
    <mergeCell ref="B16:E16"/>
    <mergeCell ref="B15:E15"/>
    <mergeCell ref="B7:E7"/>
    <mergeCell ref="B19:E19"/>
    <mergeCell ref="B20:E20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Dollarama — Historical Financials &amp; Ratios (CAD millions, fiscal years ending late Jan / early Feb)</t>
        </is>
      </c>
    </row>
    <row r="3">
      <c r="A3" s="5" t="inlineStr"/>
      <c r="B3" s="9" t="inlineStr">
        <is>
          <t>FY 2022</t>
        </is>
      </c>
      <c r="C3" s="9" t="inlineStr">
        <is>
          <t>FY 2023</t>
        </is>
      </c>
      <c r="D3" s="9" t="inlineStr">
        <is>
          <t>FY 2024</t>
        </is>
      </c>
      <c r="E3" s="9" t="inlineStr">
        <is>
          <t>FY 2025</t>
        </is>
      </c>
      <c r="F3" s="9" t="inlineStr">
        <is>
          <t>FY 2026</t>
        </is>
      </c>
      <c r="G3" s="5" t="n"/>
    </row>
    <row r="4">
      <c r="A4" s="4" t="inlineStr">
        <is>
          <t>INCOME STATEMENT</t>
        </is>
      </c>
      <c r="B4" s="5" t="n"/>
      <c r="C4" s="5" t="n"/>
      <c r="D4" s="5" t="n"/>
      <c r="E4" s="5" t="n"/>
      <c r="F4" s="5" t="n"/>
      <c r="G4" s="5" t="n"/>
    </row>
    <row r="5">
      <c r="A5" s="3" t="inlineStr">
        <is>
          <t>Revenue</t>
        </is>
      </c>
      <c r="B5" s="10" t="n">
        <v>4331</v>
      </c>
      <c r="C5" s="10" t="n">
        <v>5053</v>
      </c>
      <c r="D5" s="10" t="n">
        <v>5867</v>
      </c>
      <c r="E5" s="10" t="n">
        <v>6413</v>
      </c>
      <c r="F5" s="10" t="n">
        <v>7256</v>
      </c>
    </row>
    <row r="6">
      <c r="A6" s="3" t="inlineStr">
        <is>
          <t>Cost of Revenue</t>
        </is>
      </c>
      <c r="B6" s="10" t="n">
        <v>2282</v>
      </c>
      <c r="C6" s="10" t="n">
        <v>2702</v>
      </c>
      <c r="D6" s="10" t="n">
        <v>3254</v>
      </c>
      <c r="E6" s="10" t="n">
        <v>3519</v>
      </c>
      <c r="F6" s="10" t="n">
        <v>3987</v>
      </c>
    </row>
    <row r="7">
      <c r="A7" s="3" t="inlineStr">
        <is>
          <t>Gross Profit</t>
        </is>
      </c>
      <c r="B7" s="10" t="n">
        <v>2049</v>
      </c>
      <c r="C7" s="10" t="n">
        <v>2351</v>
      </c>
      <c r="D7" s="10" t="n">
        <v>2613</v>
      </c>
      <c r="E7" s="10" t="n">
        <v>2894</v>
      </c>
      <c r="F7" s="10" t="n">
        <v>3269</v>
      </c>
    </row>
    <row r="8">
      <c r="A8" s="3" t="inlineStr">
        <is>
          <t>Selling, General &amp; Admin</t>
        </is>
      </c>
      <c r="B8" s="10" t="n">
        <v>764.0599999999999</v>
      </c>
      <c r="C8" s="10" t="n">
        <v>873.0599999999999</v>
      </c>
      <c r="D8" s="10" t="n">
        <v>844.87</v>
      </c>
      <c r="E8" s="10" t="n">
        <v>930.17</v>
      </c>
      <c r="F8" s="10" t="n">
        <v>1093</v>
      </c>
    </row>
    <row r="9">
      <c r="A9" s="3" t="inlineStr">
        <is>
          <t>Operating Expenses (total)</t>
        </is>
      </c>
      <c r="B9" s="10" t="n">
        <v>1062</v>
      </c>
      <c r="C9" s="10" t="n">
        <v>1205</v>
      </c>
      <c r="D9" s="10" t="n">
        <v>1193</v>
      </c>
      <c r="E9" s="10" t="n">
        <v>1313</v>
      </c>
      <c r="F9" s="10" t="n">
        <v>1522</v>
      </c>
    </row>
    <row r="10">
      <c r="A10" s="3" t="inlineStr">
        <is>
          <t>Operating Income (EBIT)</t>
        </is>
      </c>
      <c r="B10" s="10" t="n">
        <v>986.95</v>
      </c>
      <c r="C10" s="10" t="n">
        <v>1146</v>
      </c>
      <c r="D10" s="10" t="n">
        <v>1420</v>
      </c>
      <c r="E10" s="10" t="n">
        <v>1581</v>
      </c>
      <c r="F10" s="10" t="n">
        <v>1746</v>
      </c>
    </row>
    <row r="11">
      <c r="A11" s="3" t="inlineStr">
        <is>
          <t>Interest Expense</t>
        </is>
      </c>
      <c r="B11" s="10" t="n">
        <v>-91.22</v>
      </c>
      <c r="C11" s="10" t="n">
        <v>-126.83</v>
      </c>
      <c r="D11" s="10" t="n">
        <v>-167.22</v>
      </c>
      <c r="E11" s="10" t="n">
        <v>-187.45</v>
      </c>
      <c r="F11" s="10" t="n">
        <v>-204.12</v>
      </c>
    </row>
    <row r="12">
      <c r="A12" s="3" t="inlineStr">
        <is>
          <t>Pretax Income</t>
        </is>
      </c>
      <c r="B12" s="10" t="n">
        <v>893.4</v>
      </c>
      <c r="C12" s="10" t="n">
        <v>1076</v>
      </c>
      <c r="D12" s="10" t="n">
        <v>1351</v>
      </c>
      <c r="E12" s="10" t="n">
        <v>1547</v>
      </c>
      <c r="F12" s="10" t="n">
        <v>1764</v>
      </c>
    </row>
    <row r="13">
      <c r="A13" s="3" t="inlineStr">
        <is>
          <t>Income Tax Expense</t>
        </is>
      </c>
      <c r="B13" s="10" t="n">
        <v>230.23</v>
      </c>
      <c r="C13" s="10" t="n">
        <v>274.24</v>
      </c>
      <c r="D13" s="10" t="n">
        <v>340.42</v>
      </c>
      <c r="E13" s="10" t="n">
        <v>378.35</v>
      </c>
      <c r="F13" s="10" t="n">
        <v>454.75</v>
      </c>
    </row>
    <row r="14">
      <c r="A14" s="3" t="inlineStr">
        <is>
          <t>Net Income</t>
        </is>
      </c>
      <c r="B14" s="10" t="n">
        <v>663.17</v>
      </c>
      <c r="C14" s="10" t="n">
        <v>801.86</v>
      </c>
      <c r="D14" s="10" t="n">
        <v>1010</v>
      </c>
      <c r="E14" s="10" t="n">
        <v>1169</v>
      </c>
      <c r="F14" s="10" t="n">
        <v>1309</v>
      </c>
    </row>
    <row r="15">
      <c r="A15" s="3" t="inlineStr">
        <is>
          <t>EBITDA (as reported by source)</t>
        </is>
      </c>
      <c r="B15" s="10" t="n">
        <v>1071</v>
      </c>
      <c r="C15" s="10" t="n">
        <v>1239</v>
      </c>
      <c r="D15" s="10" t="n">
        <v>1524</v>
      </c>
      <c r="E15" s="10" t="n">
        <v>1697</v>
      </c>
      <c r="F15" s="10" t="n">
        <v>1851</v>
      </c>
    </row>
    <row r="16">
      <c r="A16" s="3" t="inlineStr">
        <is>
          <t>EPS Diluted (CAD)</t>
        </is>
      </c>
      <c r="B16" s="11" t="n">
        <v>2.18</v>
      </c>
      <c r="C16" s="11" t="n">
        <v>2.76</v>
      </c>
      <c r="D16" s="11" t="n">
        <v>3.56</v>
      </c>
      <c r="E16" s="11" t="n">
        <v>4.16</v>
      </c>
      <c r="F16" s="11" t="n">
        <v>4.73</v>
      </c>
    </row>
    <row r="17">
      <c r="A17" s="3" t="inlineStr">
        <is>
          <t>Shares Outstanding Diluted (M)</t>
        </is>
      </c>
      <c r="B17" s="11" t="n">
        <v>304</v>
      </c>
      <c r="C17" s="11" t="n">
        <v>291</v>
      </c>
      <c r="D17" s="11" t="n">
        <v>284</v>
      </c>
      <c r="E17" s="11" t="n">
        <v>281</v>
      </c>
      <c r="F17" s="11" t="n">
        <v>277</v>
      </c>
    </row>
    <row r="19">
      <c r="A19" s="4" t="inlineStr">
        <is>
          <t>BALANCE SHEET</t>
        </is>
      </c>
      <c r="B19" s="5" t="n"/>
      <c r="C19" s="5" t="n"/>
      <c r="D19" s="5" t="n"/>
      <c r="E19" s="5" t="n"/>
      <c r="F19" s="5" t="n"/>
      <c r="G19" s="5" t="n"/>
    </row>
    <row r="20">
      <c r="A20" s="3" t="inlineStr">
        <is>
          <t>Cash &amp; Short-Term Investments</t>
        </is>
      </c>
      <c r="B20" s="10" t="n">
        <v>71.06</v>
      </c>
      <c r="C20" s="10" t="n">
        <v>101.26</v>
      </c>
      <c r="D20" s="10" t="n">
        <v>315.9</v>
      </c>
      <c r="E20" s="10" t="n">
        <v>135.05</v>
      </c>
      <c r="F20" s="10" t="n">
        <v>340.49</v>
      </c>
    </row>
    <row r="21">
      <c r="A21" s="3" t="inlineStr">
        <is>
          <t>Inventory</t>
        </is>
      </c>
      <c r="B21" s="10" t="n">
        <v>590.9299999999999</v>
      </c>
      <c r="C21" s="10" t="n">
        <v>957.17</v>
      </c>
      <c r="D21" s="10" t="n">
        <v>916.8099999999999</v>
      </c>
      <c r="E21" s="10" t="n">
        <v>921.1</v>
      </c>
      <c r="F21" s="10" t="n">
        <v>1103</v>
      </c>
    </row>
    <row r="22">
      <c r="A22" s="3" t="inlineStr">
        <is>
          <t>Total Current Assets</t>
        </is>
      </c>
      <c r="B22" s="10" t="n">
        <v>717.37</v>
      </c>
      <c r="C22" s="10" t="n">
        <v>1157</v>
      </c>
      <c r="D22" s="10" t="n">
        <v>1309</v>
      </c>
      <c r="E22" s="10" t="n">
        <v>1201</v>
      </c>
      <c r="F22" s="10" t="n">
        <v>1522</v>
      </c>
    </row>
    <row r="23">
      <c r="A23" s="3" t="inlineStr">
        <is>
          <t>Property, Plant &amp; Equipment (incl. ROU as aggregated)</t>
        </is>
      </c>
      <c r="B23" s="10" t="n">
        <v>2242</v>
      </c>
      <c r="C23" s="10" t="n">
        <v>2503</v>
      </c>
      <c r="D23" s="10" t="n">
        <v>2740</v>
      </c>
      <c r="E23" s="10" t="n">
        <v>3156</v>
      </c>
      <c r="F23" s="10" t="n">
        <v>3656</v>
      </c>
    </row>
    <row r="24">
      <c r="A24" s="3" t="inlineStr">
        <is>
          <t>Total Assets</t>
        </is>
      </c>
      <c r="B24" s="10" t="n">
        <v>4064</v>
      </c>
      <c r="C24" s="10" t="n">
        <v>4820</v>
      </c>
      <c r="D24" s="10" t="n">
        <v>5264</v>
      </c>
      <c r="E24" s="10" t="n">
        <v>6483</v>
      </c>
      <c r="F24" s="10" t="n">
        <v>7558</v>
      </c>
    </row>
    <row r="25">
      <c r="A25" s="3" t="inlineStr">
        <is>
          <t>Total Current Liabilities</t>
        </is>
      </c>
      <c r="B25" s="10" t="n">
        <v>911.89</v>
      </c>
      <c r="C25" s="10" t="n">
        <v>1163</v>
      </c>
      <c r="D25" s="10" t="n">
        <v>677.85</v>
      </c>
      <c r="E25" s="10" t="n">
        <v>1014</v>
      </c>
      <c r="F25" s="10" t="n">
        <v>1348</v>
      </c>
    </row>
    <row r="26">
      <c r="A26" s="3" t="inlineStr">
        <is>
          <t>Long-Term Debt</t>
        </is>
      </c>
      <c r="B26" s="10" t="n">
        <v>1539</v>
      </c>
      <c r="C26" s="10" t="n">
        <v>1742</v>
      </c>
      <c r="D26" s="10" t="n">
        <v>2243</v>
      </c>
      <c r="E26" s="10" t="n">
        <v>2009</v>
      </c>
      <c r="F26" s="10" t="n">
        <v>2227</v>
      </c>
    </row>
    <row r="27">
      <c r="A27" s="3" t="inlineStr">
        <is>
          <t>Long-Term Leases</t>
        </is>
      </c>
      <c r="B27" s="10" t="n">
        <v>1527</v>
      </c>
      <c r="C27" s="10" t="n">
        <v>1742</v>
      </c>
      <c r="D27" s="10" t="n">
        <v>1835</v>
      </c>
      <c r="E27" s="10" t="n">
        <v>2148</v>
      </c>
      <c r="F27" s="10" t="n">
        <v>2393</v>
      </c>
    </row>
    <row r="28">
      <c r="A28" s="3" t="inlineStr">
        <is>
          <t>Total Liabilities</t>
        </is>
      </c>
      <c r="B28" s="10" t="n">
        <v>4130</v>
      </c>
      <c r="C28" s="10" t="n">
        <v>4791</v>
      </c>
      <c r="D28" s="10" t="n">
        <v>4883</v>
      </c>
      <c r="E28" s="10" t="n">
        <v>5294</v>
      </c>
      <c r="F28" s="10" t="n">
        <v>6102</v>
      </c>
    </row>
    <row r="29">
      <c r="A29" s="3" t="inlineStr">
        <is>
          <t>Shareholders' Equity</t>
        </is>
      </c>
      <c r="B29" s="10" t="n">
        <v>-66.03</v>
      </c>
      <c r="C29" s="10" t="n">
        <v>28.41</v>
      </c>
      <c r="D29" s="10" t="n">
        <v>380.85</v>
      </c>
      <c r="E29" s="10" t="n">
        <v>1188</v>
      </c>
      <c r="F29" s="10" t="n">
        <v>1456</v>
      </c>
    </row>
    <row r="30">
      <c r="A30" s="3" t="inlineStr">
        <is>
          <t>Shares Outstanding (M, period end)</t>
        </is>
      </c>
      <c r="B30" s="11" t="n">
        <v>292.81</v>
      </c>
      <c r="C30" s="11" t="n">
        <v>284.51</v>
      </c>
      <c r="D30" s="11" t="n">
        <v>278.76</v>
      </c>
      <c r="E30" s="11" t="n">
        <v>277.03</v>
      </c>
      <c r="F30" s="11" t="n">
        <v>272.73</v>
      </c>
    </row>
    <row r="32">
      <c r="A32" s="4" t="inlineStr">
        <is>
          <t>CASH FLOW</t>
        </is>
      </c>
      <c r="B32" s="5" t="n"/>
      <c r="C32" s="5" t="n"/>
      <c r="D32" s="5" t="n"/>
      <c r="E32" s="5" t="n"/>
      <c r="F32" s="5" t="n"/>
      <c r="G32" s="5" t="n"/>
    </row>
    <row r="33">
      <c r="A33" s="3" t="inlineStr">
        <is>
          <t>Depreciation &amp; Amortization</t>
        </is>
      </c>
      <c r="B33" s="10" t="n">
        <v>277.5</v>
      </c>
      <c r="C33" s="10" t="n">
        <v>309.6</v>
      </c>
      <c r="D33" s="10" t="n">
        <v>342.54</v>
      </c>
      <c r="E33" s="10" t="n">
        <v>385.08</v>
      </c>
      <c r="F33" s="10" t="n">
        <v>433.58</v>
      </c>
    </row>
    <row r="34">
      <c r="A34" s="3" t="inlineStr">
        <is>
          <t>Operating Cash Flow</t>
        </is>
      </c>
      <c r="B34" s="10" t="n">
        <v>1159</v>
      </c>
      <c r="C34" s="10" t="n">
        <v>869.04</v>
      </c>
      <c r="D34" s="10" t="n">
        <v>1531</v>
      </c>
      <c r="E34" s="10" t="n">
        <v>1644</v>
      </c>
      <c r="F34" s="10" t="n">
        <v>1761</v>
      </c>
    </row>
    <row r="35">
      <c r="A35" s="3" t="inlineStr">
        <is>
          <t>Capital Expenditures</t>
        </is>
      </c>
      <c r="B35" s="10" t="n">
        <v>-136.77</v>
      </c>
      <c r="C35" s="10" t="n">
        <v>-134.05</v>
      </c>
      <c r="D35" s="10" t="n">
        <v>-252.67</v>
      </c>
      <c r="E35" s="10" t="n">
        <v>-212.83</v>
      </c>
      <c r="F35" s="10" t="n">
        <v>-248.75</v>
      </c>
    </row>
    <row r="36">
      <c r="A36" s="3" t="inlineStr">
        <is>
          <t>Free Cash Flow</t>
        </is>
      </c>
      <c r="B36" s="10" t="n">
        <v>1022</v>
      </c>
      <c r="C36" s="10" t="n">
        <v>734.99</v>
      </c>
      <c r="D36" s="10" t="n">
        <v>1278</v>
      </c>
      <c r="E36" s="10" t="n">
        <v>1431</v>
      </c>
      <c r="F36" s="10" t="n">
        <v>1512</v>
      </c>
    </row>
    <row r="37">
      <c r="A37" s="3" t="inlineStr">
        <is>
          <t>Lease Payments</t>
        </is>
      </c>
      <c r="B37" s="10" t="n">
        <v>-229.58</v>
      </c>
      <c r="C37" s="10" t="n">
        <v>-253.57</v>
      </c>
      <c r="D37" s="10" t="n">
        <v>-284.84</v>
      </c>
      <c r="E37" s="10" t="n">
        <v>-317.83</v>
      </c>
      <c r="F37" s="10" t="n">
        <v>-390.33</v>
      </c>
    </row>
    <row r="38">
      <c r="A38" s="3" t="inlineStr">
        <is>
          <t>Repurchase of Common Stock (buybacks)</t>
        </is>
      </c>
      <c r="B38" s="10" t="n">
        <v>-1060</v>
      </c>
      <c r="C38" s="10" t="n">
        <v>-689</v>
      </c>
      <c r="D38" s="10" t="n">
        <v>-655.87</v>
      </c>
      <c r="E38" s="10" t="n">
        <v>-1091</v>
      </c>
      <c r="F38" s="10" t="n">
        <v>-864.38</v>
      </c>
    </row>
    <row r="39">
      <c r="A39" s="3" t="inlineStr">
        <is>
          <t>Common Dividends Paid</t>
        </is>
      </c>
      <c r="B39" s="10" t="n">
        <v>-60.46</v>
      </c>
      <c r="C39" s="10" t="n">
        <v>-62.98</v>
      </c>
      <c r="D39" s="10" t="n">
        <v>-76.13</v>
      </c>
      <c r="E39" s="10" t="n">
        <v>-97.23999999999999</v>
      </c>
      <c r="F39" s="10" t="n">
        <v>-113.2</v>
      </c>
    </row>
    <row r="41">
      <c r="A41" s="4" t="inlineStr">
        <is>
          <t>COMPUTED RATIOS</t>
        </is>
      </c>
      <c r="B41" s="5" t="n"/>
      <c r="C41" s="5" t="n"/>
      <c r="D41" s="5" t="n"/>
      <c r="E41" s="5" t="n"/>
      <c r="F41" s="5" t="n"/>
      <c r="G41" s="5" t="n"/>
    </row>
    <row r="42">
      <c r="A42" s="3" t="inlineStr">
        <is>
          <t>Gross margin</t>
        </is>
      </c>
      <c r="B42" s="12">
        <f>B7/B5</f>
        <v/>
      </c>
      <c r="C42" s="12">
        <f>C7/C5</f>
        <v/>
      </c>
      <c r="D42" s="12">
        <f>D7/D5</f>
        <v/>
      </c>
      <c r="E42" s="12">
        <f>E7/E5</f>
        <v/>
      </c>
      <c r="F42" s="12">
        <f>F7/F5</f>
        <v/>
      </c>
    </row>
    <row r="43">
      <c r="A43" s="3" t="inlineStr">
        <is>
          <t>Operating (EBIT) margin</t>
        </is>
      </c>
      <c r="B43" s="12">
        <f>B10/B5</f>
        <v/>
      </c>
      <c r="C43" s="12">
        <f>C10/C5</f>
        <v/>
      </c>
      <c r="D43" s="12">
        <f>D10/D5</f>
        <v/>
      </c>
      <c r="E43" s="12">
        <f>E10/E5</f>
        <v/>
      </c>
      <c r="F43" s="12">
        <f>F10/F5</f>
        <v/>
      </c>
    </row>
    <row r="44">
      <c r="A44" s="3" t="inlineStr">
        <is>
          <t>Net margin</t>
        </is>
      </c>
      <c r="B44" s="12">
        <f>B14/B5</f>
        <v/>
      </c>
      <c r="C44" s="12">
        <f>C14/C5</f>
        <v/>
      </c>
      <c r="D44" s="12">
        <f>D14/D5</f>
        <v/>
      </c>
      <c r="E44" s="12">
        <f>E14/E5</f>
        <v/>
      </c>
      <c r="F44" s="12">
        <f>F14/F5</f>
        <v/>
      </c>
    </row>
    <row r="45">
      <c r="A45" s="3" t="inlineStr">
        <is>
          <t>Return on assets (NI / total assets)</t>
        </is>
      </c>
      <c r="B45" s="12">
        <f>B14/B24</f>
        <v/>
      </c>
      <c r="C45" s="12">
        <f>C14/C24</f>
        <v/>
      </c>
      <c r="D45" s="12">
        <f>D14/D24</f>
        <v/>
      </c>
      <c r="E45" s="12">
        <f>E14/E24</f>
        <v/>
      </c>
      <c r="F45" s="12">
        <f>F14/F24</f>
        <v/>
      </c>
    </row>
    <row r="46">
      <c r="A46" s="3" t="inlineStr">
        <is>
          <t>Current ratio</t>
        </is>
      </c>
      <c r="B46" s="11">
        <f>B22/B25</f>
        <v/>
      </c>
      <c r="C46" s="11">
        <f>C22/C25</f>
        <v/>
      </c>
      <c r="D46" s="11">
        <f>D22/D25</f>
        <v/>
      </c>
      <c r="E46" s="11">
        <f>E22/E25</f>
        <v/>
      </c>
      <c r="F46" s="11">
        <f>F22/F25</f>
        <v/>
      </c>
    </row>
    <row r="47">
      <c r="A47" s="3" t="inlineStr">
        <is>
          <t>Inventory days (on cost of revenue)</t>
        </is>
      </c>
      <c r="B47" s="13">
        <f>B21/B6*365</f>
        <v/>
      </c>
      <c r="C47" s="13">
        <f>C21/C6*365</f>
        <v/>
      </c>
      <c r="D47" s="13">
        <f>D21/D6*365</f>
        <v/>
      </c>
      <c r="E47" s="13">
        <f>E21/E6*365</f>
        <v/>
      </c>
      <c r="F47" s="13">
        <f>F21/F6*365</f>
        <v/>
      </c>
    </row>
    <row r="48">
      <c r="A48" s="3" t="inlineStr">
        <is>
          <t>FCF margin</t>
        </is>
      </c>
      <c r="B48" s="12">
        <f>B36/B5</f>
        <v/>
      </c>
      <c r="C48" s="12">
        <f>C36/C5</f>
        <v/>
      </c>
      <c r="D48" s="12">
        <f>D36/D5</f>
        <v/>
      </c>
      <c r="E48" s="12">
        <f>E36/E5</f>
        <v/>
      </c>
      <c r="F48" s="12">
        <f>F36/F5</f>
        <v/>
      </c>
    </row>
    <row r="49">
      <c r="A49" s="3" t="inlineStr">
        <is>
          <t>Revenue growth (YoY)</t>
        </is>
      </c>
      <c r="C49" s="12">
        <f>C5/B5-1</f>
        <v/>
      </c>
      <c r="D49" s="12">
        <f>D5/C5-1</f>
        <v/>
      </c>
      <c r="E49" s="12">
        <f>E5/D5-1</f>
        <v/>
      </c>
      <c r="F49" s="12">
        <f>F5/E5-1</f>
        <v/>
      </c>
    </row>
    <row r="51">
      <c r="A51" s="2" t="inlineStr">
        <is>
          <t>Note: ROE is deliberately excluded — buybacks shrank the equity base (negative in FY2022–FY2023), so ROE is not meaningful for Dollarama.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Dollarama — Integrated Forecast (CAD millions unless noted). Yellow cells are assumptions; everything else is a formula.</t>
        </is>
      </c>
    </row>
    <row r="3">
      <c r="A3" s="4" t="inlineStr"/>
      <c r="B3" s="9" t="inlineStr">
        <is>
          <t>FY 2026A</t>
        </is>
      </c>
      <c r="C3" s="9" t="inlineStr">
        <is>
          <t>FY 2027E</t>
        </is>
      </c>
      <c r="D3" s="9" t="inlineStr">
        <is>
          <t>FY 2028E</t>
        </is>
      </c>
      <c r="E3" s="9" t="inlineStr">
        <is>
          <t>FY 2029E</t>
        </is>
      </c>
      <c r="F3" s="9" t="inlineStr">
        <is>
          <t>FY 2030E</t>
        </is>
      </c>
      <c r="G3" s="9" t="inlineStr">
        <is>
          <t>FY 2031E</t>
        </is>
      </c>
    </row>
    <row r="4">
      <c r="A4" s="4" t="inlineStr">
        <is>
          <t>DRIVERS &amp; ASSUMPTIONS</t>
        </is>
      </c>
      <c r="B4" s="5" t="n"/>
      <c r="C4" s="5" t="n"/>
      <c r="D4" s="5" t="n"/>
      <c r="E4" s="5" t="n"/>
      <c r="F4" s="5" t="n"/>
      <c r="G4" s="5" t="n"/>
    </row>
    <row r="5">
      <c r="A5" s="3" t="inlineStr">
        <is>
          <t>Revenue growth</t>
        </is>
      </c>
      <c r="B5" s="12" t="n"/>
      <c r="C5" s="14" t="n">
        <v>0.13</v>
      </c>
      <c r="D5" s="14" t="n">
        <v>0.1</v>
      </c>
      <c r="E5" s="14" t="n">
        <v>0.08500000000000001</v>
      </c>
      <c r="F5" s="14" t="n">
        <v>0.075</v>
      </c>
      <c r="G5" s="14" t="n">
        <v>0.065</v>
      </c>
    </row>
    <row r="6">
      <c r="A6" s="3" t="inlineStr">
        <is>
          <t>Gross margin</t>
        </is>
      </c>
      <c r="B6" s="12" t="n">
        <v>0.4505237045203969</v>
      </c>
      <c r="C6" s="14" t="n">
        <v>0.45</v>
      </c>
      <c r="D6" s="14" t="n">
        <v>0.45</v>
      </c>
      <c r="E6" s="14" t="n">
        <v>0.45</v>
      </c>
      <c r="F6" s="14" t="n">
        <v>0.45</v>
      </c>
      <c r="G6" s="14" t="n">
        <v>0.45</v>
      </c>
    </row>
    <row r="7">
      <c r="A7" s="3" t="inlineStr">
        <is>
          <t>SG&amp;A (% of revenue)</t>
        </is>
      </c>
      <c r="B7" s="12" t="n">
        <v>0.1506339581036384</v>
      </c>
      <c r="C7" s="14" t="n">
        <v>0.15</v>
      </c>
      <c r="D7" s="14" t="n">
        <v>0.15</v>
      </c>
      <c r="E7" s="14" t="n">
        <v>0.149</v>
      </c>
      <c r="F7" s="14" t="n">
        <v>0.149</v>
      </c>
      <c r="G7" s="14" t="n">
        <v>0.148</v>
      </c>
    </row>
    <row r="8">
      <c r="A8" s="3" t="inlineStr">
        <is>
          <t>D&amp;A (% of revenue)</t>
        </is>
      </c>
      <c r="B8" s="12" t="n">
        <v>0.05912348401323043</v>
      </c>
      <c r="C8" s="14" t="n">
        <v>0.06</v>
      </c>
      <c r="D8" s="14" t="n">
        <v>0.06</v>
      </c>
      <c r="E8" s="14" t="n">
        <v>0.06</v>
      </c>
      <c r="F8" s="14" t="n">
        <v>0.06</v>
      </c>
      <c r="G8" s="14" t="n">
        <v>0.06</v>
      </c>
    </row>
    <row r="9">
      <c r="A9" s="3" t="inlineStr">
        <is>
          <t>Capex (% of revenue)</t>
        </is>
      </c>
      <c r="B9" s="12" t="n">
        <v>0.03428197353914002</v>
      </c>
      <c r="C9" s="14" t="n">
        <v>0.035</v>
      </c>
      <c r="D9" s="14" t="n">
        <v>0.035</v>
      </c>
      <c r="E9" s="14" t="n">
        <v>0.035</v>
      </c>
      <c r="F9" s="14" t="n">
        <v>0.035</v>
      </c>
      <c r="G9" s="14" t="n">
        <v>0.035</v>
      </c>
    </row>
    <row r="10">
      <c r="A10" s="3" t="inlineStr">
        <is>
          <t>Operating current assets (% of revenue)</t>
        </is>
      </c>
      <c r="B10" s="12" t="n">
        <v>0.1628321389195149</v>
      </c>
      <c r="C10" s="14" t="n">
        <v>0.1628321389195149</v>
      </c>
      <c r="D10" s="14" t="n">
        <v>0.1628321389195149</v>
      </c>
      <c r="E10" s="14" t="n">
        <v>0.1628321389195149</v>
      </c>
      <c r="F10" s="14" t="n">
        <v>0.1628321389195149</v>
      </c>
      <c r="G10" s="14" t="n">
        <v>0.1628321389195149</v>
      </c>
    </row>
    <row r="11">
      <c r="A11" s="3" t="inlineStr">
        <is>
          <t>Operating current liabilities (% of revenue)</t>
        </is>
      </c>
      <c r="B11" s="12" t="n">
        <v>0.07881477398015435</v>
      </c>
      <c r="C11" s="14" t="n">
        <v>0.07881477398015435</v>
      </c>
      <c r="D11" s="14" t="n">
        <v>0.07881477398015435</v>
      </c>
      <c r="E11" s="14" t="n">
        <v>0.07881477398015435</v>
      </c>
      <c r="F11" s="14" t="n">
        <v>0.07881477398015435</v>
      </c>
      <c r="G11" s="14" t="n">
        <v>0.07881477398015435</v>
      </c>
    </row>
    <row r="12">
      <c r="A12" s="3" t="inlineStr">
        <is>
          <t>PP&amp;E/ROU additions from leases (% of revenue)</t>
        </is>
      </c>
      <c r="B12" s="12" t="n"/>
      <c r="C12" s="14" t="n">
        <v>0.045</v>
      </c>
      <c r="D12" s="14" t="n">
        <v>0.045</v>
      </c>
      <c r="E12" s="14" t="n">
        <v>0.045</v>
      </c>
      <c r="F12" s="14" t="n">
        <v>0.045</v>
      </c>
      <c r="G12" s="14" t="n">
        <v>0.045</v>
      </c>
    </row>
    <row r="13">
      <c r="A13" s="3" t="inlineStr">
        <is>
          <t>Tax rate</t>
        </is>
      </c>
      <c r="B13" s="12" t="n">
        <v>0.2578</v>
      </c>
      <c r="C13" s="14" t="n">
        <v>0.258</v>
      </c>
      <c r="D13" s="14" t="n">
        <v>0.258</v>
      </c>
      <c r="E13" s="14" t="n">
        <v>0.258</v>
      </c>
      <c r="F13" s="14" t="n">
        <v>0.258</v>
      </c>
      <c r="G13" s="14" t="n">
        <v>0.258</v>
      </c>
    </row>
    <row r="14">
      <c r="A14" s="3" t="inlineStr">
        <is>
          <t>Interest expense ($M)</t>
        </is>
      </c>
      <c r="B14" s="10" t="n">
        <v>204.12</v>
      </c>
      <c r="C14" s="15" t="n">
        <v>215</v>
      </c>
      <c r="D14" s="15" t="n">
        <v>220</v>
      </c>
      <c r="E14" s="15" t="n">
        <v>225</v>
      </c>
      <c r="F14" s="15" t="n">
        <v>230</v>
      </c>
      <c r="G14" s="15" t="n">
        <v>235</v>
      </c>
    </row>
    <row r="15">
      <c r="A15" s="3" t="inlineStr">
        <is>
          <t>Equity &amp; other income ($M)</t>
        </is>
      </c>
      <c r="B15" s="10" t="n">
        <v>222.12</v>
      </c>
      <c r="C15" s="15" t="n">
        <v>200</v>
      </c>
      <c r="D15" s="15" t="n">
        <v>205</v>
      </c>
      <c r="E15" s="15" t="n">
        <v>210</v>
      </c>
      <c r="F15" s="15" t="n">
        <v>215</v>
      </c>
      <c r="G15" s="15" t="n">
        <v>220</v>
      </c>
    </row>
    <row r="16">
      <c r="A16" s="3" t="inlineStr">
        <is>
          <t>Dividend payout (% of net income)</t>
        </is>
      </c>
      <c r="B16" s="12" t="n">
        <v>0.08647822765469824</v>
      </c>
      <c r="C16" s="14" t="n">
        <v>0.09</v>
      </c>
      <c r="D16" s="14" t="n">
        <v>0.09</v>
      </c>
      <c r="E16" s="14" t="n">
        <v>0.09</v>
      </c>
      <c r="F16" s="14" t="n">
        <v>0.09</v>
      </c>
      <c r="G16" s="14" t="n">
        <v>0.09</v>
      </c>
    </row>
    <row r="17">
      <c r="A17" s="3" t="inlineStr">
        <is>
          <t>Share buybacks ($M per year)</t>
        </is>
      </c>
      <c r="B17" s="10" t="n">
        <v>864.38</v>
      </c>
      <c r="C17" s="15" t="n">
        <v>900</v>
      </c>
      <c r="D17" s="15" t="n">
        <v>900</v>
      </c>
      <c r="E17" s="15" t="n">
        <v>900</v>
      </c>
      <c r="F17" s="15" t="n">
        <v>900</v>
      </c>
      <c r="G17" s="15" t="n">
        <v>900</v>
      </c>
    </row>
    <row r="18">
      <c r="A18" s="3" t="inlineStr">
        <is>
          <t>Lease liabilities growth</t>
        </is>
      </c>
      <c r="B18" s="12" t="n"/>
      <c r="C18" s="14" t="n">
        <v>0.05</v>
      </c>
      <c r="D18" s="14" t="n">
        <v>0.05</v>
      </c>
      <c r="E18" s="14" t="n">
        <v>0.05</v>
      </c>
      <c r="F18" s="14" t="n">
        <v>0.05</v>
      </c>
      <c r="G18" s="14" t="n">
        <v>0.05</v>
      </c>
    </row>
    <row r="19">
      <c r="A19" s="3" t="inlineStr">
        <is>
          <t>Share count change (buyback effect)</t>
        </is>
      </c>
      <c r="B19" s="12" t="n"/>
      <c r="C19" s="14" t="n">
        <v>-0.012</v>
      </c>
      <c r="D19" s="14" t="n">
        <v>-0.012</v>
      </c>
      <c r="E19" s="14" t="n">
        <v>-0.012</v>
      </c>
      <c r="F19" s="14" t="n">
        <v>-0.012</v>
      </c>
      <c r="G19" s="14" t="n">
        <v>-0.012</v>
      </c>
    </row>
    <row r="21">
      <c r="A21" s="4" t="inlineStr">
        <is>
          <t>INCOME STATEMENT</t>
        </is>
      </c>
      <c r="B21" s="5" t="n"/>
      <c r="C21" s="5" t="n"/>
      <c r="D21" s="5" t="n"/>
      <c r="E21" s="5" t="n"/>
      <c r="F21" s="5" t="n"/>
      <c r="G21" s="5" t="n"/>
    </row>
    <row r="22">
      <c r="A22" s="3" t="inlineStr">
        <is>
          <t>Revenue</t>
        </is>
      </c>
      <c r="B22" s="10" t="n">
        <v>7256</v>
      </c>
      <c r="C22" s="10">
        <f>B22*(1+C5)</f>
        <v/>
      </c>
      <c r="D22" s="10">
        <f>C22*(1+D5)</f>
        <v/>
      </c>
      <c r="E22" s="10">
        <f>D22*(1+E5)</f>
        <v/>
      </c>
      <c r="F22" s="10">
        <f>E22*(1+F5)</f>
        <v/>
      </c>
      <c r="G22" s="10">
        <f>F22*(1+G5)</f>
        <v/>
      </c>
    </row>
    <row r="23">
      <c r="A23" s="3" t="inlineStr">
        <is>
          <t>Cost of Revenue</t>
        </is>
      </c>
      <c r="B23" s="10" t="n">
        <v>3987</v>
      </c>
      <c r="C23" s="10">
        <f>C22*(1-C6)</f>
        <v/>
      </c>
      <c r="D23" s="10">
        <f>D22*(1-D6)</f>
        <v/>
      </c>
      <c r="E23" s="10">
        <f>E22*(1-E6)</f>
        <v/>
      </c>
      <c r="F23" s="10">
        <f>F22*(1-F6)</f>
        <v/>
      </c>
      <c r="G23" s="10">
        <f>G22*(1-G6)</f>
        <v/>
      </c>
    </row>
    <row r="24">
      <c r="A24" s="6" t="inlineStr">
        <is>
          <t>Gross Profit</t>
        </is>
      </c>
      <c r="B24" s="10" t="n">
        <v>3269</v>
      </c>
      <c r="C24" s="10">
        <f>C22-C23</f>
        <v/>
      </c>
      <c r="D24" s="10">
        <f>D22-D23</f>
        <v/>
      </c>
      <c r="E24" s="10">
        <f>E22-E23</f>
        <v/>
      </c>
      <c r="F24" s="10">
        <f>F22-F23</f>
        <v/>
      </c>
      <c r="G24" s="10">
        <f>G22-G23</f>
        <v/>
      </c>
    </row>
    <row r="25">
      <c r="A25" s="3" t="inlineStr">
        <is>
          <t>SG&amp;A</t>
        </is>
      </c>
      <c r="B25" s="10" t="n">
        <v>1093</v>
      </c>
      <c r="C25" s="10">
        <f>C22*C7</f>
        <v/>
      </c>
      <c r="D25" s="10">
        <f>D22*D7</f>
        <v/>
      </c>
      <c r="E25" s="10">
        <f>E22*E7</f>
        <v/>
      </c>
      <c r="F25" s="10">
        <f>F22*F7</f>
        <v/>
      </c>
      <c r="G25" s="10">
        <f>G22*G7</f>
        <v/>
      </c>
    </row>
    <row r="26">
      <c r="A26" s="3" t="inlineStr">
        <is>
          <t>Depreciation &amp; Amortization</t>
        </is>
      </c>
      <c r="B26" s="10" t="n">
        <v>429</v>
      </c>
      <c r="C26" s="10">
        <f>C22*C8</f>
        <v/>
      </c>
      <c r="D26" s="10">
        <f>D22*D8</f>
        <v/>
      </c>
      <c r="E26" s="10">
        <f>E22*E8</f>
        <v/>
      </c>
      <c r="F26" s="10">
        <f>F22*F8</f>
        <v/>
      </c>
      <c r="G26" s="10">
        <f>G22*G8</f>
        <v/>
      </c>
    </row>
    <row r="27">
      <c r="A27" s="6" t="inlineStr">
        <is>
          <t>Operating Income (EBIT)</t>
        </is>
      </c>
      <c r="B27" s="10" t="n">
        <v>1746</v>
      </c>
      <c r="C27" s="10">
        <f>C24-C25-C26</f>
        <v/>
      </c>
      <c r="D27" s="10">
        <f>D24-D25-D26</f>
        <v/>
      </c>
      <c r="E27" s="10">
        <f>E24-E25-E26</f>
        <v/>
      </c>
      <c r="F27" s="10">
        <f>F24-F25-F26</f>
        <v/>
      </c>
      <c r="G27" s="10">
        <f>G24-G25-G26</f>
        <v/>
      </c>
    </row>
    <row r="28">
      <c r="A28" s="3" t="inlineStr">
        <is>
          <t>Interest Expense</t>
        </is>
      </c>
      <c r="B28" s="10" t="n">
        <v>204.12</v>
      </c>
      <c r="C28" s="10">
        <f>C14</f>
        <v/>
      </c>
      <c r="D28" s="10">
        <f>D14</f>
        <v/>
      </c>
      <c r="E28" s="10">
        <f>E14</f>
        <v/>
      </c>
      <c r="F28" s="10">
        <f>F14</f>
        <v/>
      </c>
      <c r="G28" s="10">
        <f>G14</f>
        <v/>
      </c>
    </row>
    <row r="29">
      <c r="A29" s="3" t="inlineStr">
        <is>
          <t>Equity &amp; Other Income</t>
        </is>
      </c>
      <c r="B29" s="10" t="n">
        <v>222.12</v>
      </c>
      <c r="C29" s="10">
        <f>C15</f>
        <v/>
      </c>
      <c r="D29" s="10">
        <f>D15</f>
        <v/>
      </c>
      <c r="E29" s="10">
        <f>E15</f>
        <v/>
      </c>
      <c r="F29" s="10">
        <f>F15</f>
        <v/>
      </c>
      <c r="G29" s="10">
        <f>G15</f>
        <v/>
      </c>
    </row>
    <row r="30">
      <c r="A30" s="3" t="inlineStr">
        <is>
          <t>Pretax Income</t>
        </is>
      </c>
      <c r="B30" s="10" t="n">
        <v>1764</v>
      </c>
      <c r="C30" s="10">
        <f>C27-C28+C29</f>
        <v/>
      </c>
      <c r="D30" s="10">
        <f>D27-D28+D29</f>
        <v/>
      </c>
      <c r="E30" s="10">
        <f>E27-E28+E29</f>
        <v/>
      </c>
      <c r="F30" s="10">
        <f>F27-F28+F29</f>
        <v/>
      </c>
      <c r="G30" s="10">
        <f>G27-G28+G29</f>
        <v/>
      </c>
    </row>
    <row r="31">
      <c r="A31" s="3" t="inlineStr">
        <is>
          <t>Income Tax</t>
        </is>
      </c>
      <c r="B31" s="10" t="n">
        <v>454.75</v>
      </c>
      <c r="C31" s="10">
        <f>C30*C13</f>
        <v/>
      </c>
      <c r="D31" s="10">
        <f>D30*D13</f>
        <v/>
      </c>
      <c r="E31" s="10">
        <f>E30*E13</f>
        <v/>
      </c>
      <c r="F31" s="10">
        <f>F30*F13</f>
        <v/>
      </c>
      <c r="G31" s="10">
        <f>G30*G13</f>
        <v/>
      </c>
    </row>
    <row r="32">
      <c r="A32" s="6" t="inlineStr">
        <is>
          <t>Net Income</t>
        </is>
      </c>
      <c r="B32" s="10" t="n">
        <v>1309</v>
      </c>
      <c r="C32" s="10">
        <f>C30-C31</f>
        <v/>
      </c>
      <c r="D32" s="10">
        <f>D30-D31</f>
        <v/>
      </c>
      <c r="E32" s="10">
        <f>E30-E31</f>
        <v/>
      </c>
      <c r="F32" s="10">
        <f>F30-F31</f>
        <v/>
      </c>
      <c r="G32" s="10">
        <f>G30-G31</f>
        <v/>
      </c>
    </row>
    <row r="33">
      <c r="A33" s="3" t="inlineStr">
        <is>
          <t>EPS Diluted (CAD)</t>
        </is>
      </c>
      <c r="B33" s="11" t="n">
        <v>4.73</v>
      </c>
      <c r="C33" s="11">
        <f>C32/C51</f>
        <v/>
      </c>
      <c r="D33" s="11">
        <f>D32/D51</f>
        <v/>
      </c>
      <c r="E33" s="11">
        <f>E32/E51</f>
        <v/>
      </c>
      <c r="F33" s="11">
        <f>F32/F51</f>
        <v/>
      </c>
      <c r="G33" s="11">
        <f>G32/G51</f>
        <v/>
      </c>
    </row>
    <row r="34">
      <c r="A34" s="3" t="inlineStr">
        <is>
          <t>EBIT Margin</t>
        </is>
      </c>
      <c r="B34" s="12">
        <f>B27/B22</f>
        <v/>
      </c>
      <c r="C34" s="12">
        <f>C27/C22</f>
        <v/>
      </c>
      <c r="D34" s="12">
        <f>D27/D22</f>
        <v/>
      </c>
      <c r="E34" s="12">
        <f>E27/E22</f>
        <v/>
      </c>
      <c r="F34" s="12">
        <f>F27/F22</f>
        <v/>
      </c>
      <c r="G34" s="12">
        <f>G27/G22</f>
        <v/>
      </c>
    </row>
    <row r="35">
      <c r="A35" s="3" t="inlineStr">
        <is>
          <t>Net Margin</t>
        </is>
      </c>
      <c r="B35" s="12">
        <f>B32/B22</f>
        <v/>
      </c>
      <c r="C35" s="12">
        <f>C32/C22</f>
        <v/>
      </c>
      <c r="D35" s="12">
        <f>D32/D22</f>
        <v/>
      </c>
      <c r="E35" s="12">
        <f>E32/E22</f>
        <v/>
      </c>
      <c r="F35" s="12">
        <f>F32/F22</f>
        <v/>
      </c>
      <c r="G35" s="12">
        <f>G32/G22</f>
        <v/>
      </c>
    </row>
    <row r="37">
      <c r="A37" s="4" t="inlineStr">
        <is>
          <t>BALANCE SHEET (condensed, integrated)</t>
        </is>
      </c>
      <c r="B37" s="5" t="n"/>
      <c r="C37" s="5" t="n"/>
      <c r="D37" s="5" t="n"/>
      <c r="E37" s="5" t="n"/>
      <c r="F37" s="5" t="n"/>
      <c r="G37" s="5" t="n"/>
    </row>
    <row r="38">
      <c r="A38" s="3" t="inlineStr">
        <is>
          <t>Cash &amp; Short-Term Investments (plug)</t>
        </is>
      </c>
      <c r="B38" s="10" t="n">
        <v>340.49</v>
      </c>
      <c r="C38" s="10">
        <f>C49-C39-C40-C41</f>
        <v/>
      </c>
      <c r="D38" s="10">
        <f>D49-D39-D40-D41</f>
        <v/>
      </c>
      <c r="E38" s="10">
        <f>E49-E39-E40-E41</f>
        <v/>
      </c>
      <c r="F38" s="10">
        <f>F49-F39-F40-F41</f>
        <v/>
      </c>
      <c r="G38" s="10">
        <f>G49-G39-G40-G41</f>
        <v/>
      </c>
    </row>
    <row r="39">
      <c r="A39" s="3" t="inlineStr">
        <is>
          <t>Operating Current Assets</t>
        </is>
      </c>
      <c r="B39" s="10" t="n">
        <v>1181.51</v>
      </c>
      <c r="C39" s="10">
        <f>C22*C10</f>
        <v/>
      </c>
      <c r="D39" s="10">
        <f>D22*D10</f>
        <v/>
      </c>
      <c r="E39" s="10">
        <f>E22*E10</f>
        <v/>
      </c>
      <c r="F39" s="10">
        <f>F22*F10</f>
        <v/>
      </c>
      <c r="G39" s="10">
        <f>G22*G10</f>
        <v/>
      </c>
    </row>
    <row r="40">
      <c r="A40" s="3" t="inlineStr">
        <is>
          <t>Net PP&amp;E and Right-of-Use Assets</t>
        </is>
      </c>
      <c r="B40" s="10" t="n">
        <v>3656</v>
      </c>
      <c r="C40" s="10">
        <f>B40+C22*C9+C22*C12-C26</f>
        <v/>
      </c>
      <c r="D40" s="10">
        <f>C40+D22*D9+D22*D12-D26</f>
        <v/>
      </c>
      <c r="E40" s="10">
        <f>D40+E22*E9+E22*E12-E26</f>
        <v/>
      </c>
      <c r="F40" s="10">
        <f>E40+F22*F9+F22*F12-F26</f>
        <v/>
      </c>
      <c r="G40" s="10">
        <f>F40+G22*G9+G22*G12-G26</f>
        <v/>
      </c>
    </row>
    <row r="41">
      <c r="A41" s="3" t="inlineStr">
        <is>
          <t>Goodwill &amp; Other Long-Term Assets</t>
        </is>
      </c>
      <c r="B41" s="10" t="n">
        <v>2380</v>
      </c>
      <c r="C41" s="10">
        <f>B41</f>
        <v/>
      </c>
      <c r="D41" s="10">
        <f>C41</f>
        <v/>
      </c>
      <c r="E41" s="10">
        <f>D41</f>
        <v/>
      </c>
      <c r="F41" s="10">
        <f>E41</f>
        <v/>
      </c>
      <c r="G41" s="10">
        <f>F41</f>
        <v/>
      </c>
    </row>
    <row r="42">
      <c r="A42" s="6" t="inlineStr">
        <is>
          <t>Total Assets</t>
        </is>
      </c>
      <c r="B42" s="10" t="n">
        <v>7558</v>
      </c>
      <c r="C42" s="10">
        <f>C38+C39+C40+C41</f>
        <v/>
      </c>
      <c r="D42" s="10">
        <f>D38+D39+D40+D41</f>
        <v/>
      </c>
      <c r="E42" s="10">
        <f>E38+E39+E40+E41</f>
        <v/>
      </c>
      <c r="F42" s="10">
        <f>F38+F39+F40+F41</f>
        <v/>
      </c>
      <c r="G42" s="10">
        <f>G38+G39+G40+G41</f>
        <v/>
      </c>
    </row>
    <row r="43">
      <c r="A43" s="3" t="inlineStr">
        <is>
          <t>Operating Current Liabilities</t>
        </is>
      </c>
      <c r="B43" s="10" t="n">
        <v>571.88</v>
      </c>
      <c r="C43" s="10">
        <f>C22*C11</f>
        <v/>
      </c>
      <c r="D43" s="10">
        <f>D22*D11</f>
        <v/>
      </c>
      <c r="E43" s="10">
        <f>E22*E11</f>
        <v/>
      </c>
      <c r="F43" s="10">
        <f>F22*F11</f>
        <v/>
      </c>
      <c r="G43" s="10">
        <f>G22*G11</f>
        <v/>
      </c>
    </row>
    <row r="44">
      <c r="A44" s="3" t="inlineStr">
        <is>
          <t>Debt (excl. leases)</t>
        </is>
      </c>
      <c r="B44" s="10" t="n">
        <v>2625.38</v>
      </c>
      <c r="C44" s="10">
        <f>B44</f>
        <v/>
      </c>
      <c r="D44" s="10">
        <f>C44</f>
        <v/>
      </c>
      <c r="E44" s="10">
        <f>D44</f>
        <v/>
      </c>
      <c r="F44" s="10">
        <f>E44</f>
        <v/>
      </c>
      <c r="G44" s="10">
        <f>F44</f>
        <v/>
      </c>
    </row>
    <row r="45">
      <c r="A45" s="3" t="inlineStr">
        <is>
          <t>Lease Liabilities</t>
        </is>
      </c>
      <c r="B45" s="10" t="n">
        <v>2770.74</v>
      </c>
      <c r="C45" s="10">
        <f>B45*(1+C18)</f>
        <v/>
      </c>
      <c r="D45" s="10">
        <f>C45*(1+D18)</f>
        <v/>
      </c>
      <c r="E45" s="10">
        <f>D45*(1+E18)</f>
        <v/>
      </c>
      <c r="F45" s="10">
        <f>E45*(1+F18)</f>
        <v/>
      </c>
      <c r="G45" s="10">
        <f>F45*(1+G18)</f>
        <v/>
      </c>
    </row>
    <row r="46">
      <c r="A46" s="3" t="inlineStr">
        <is>
          <t>Other Long-Term Liabilities</t>
        </is>
      </c>
      <c r="B46" s="10" t="n">
        <v>134</v>
      </c>
      <c r="C46" s="10">
        <f>B46</f>
        <v/>
      </c>
      <c r="D46" s="10">
        <f>C46</f>
        <v/>
      </c>
      <c r="E46" s="10">
        <f>D46</f>
        <v/>
      </c>
      <c r="F46" s="10">
        <f>E46</f>
        <v/>
      </c>
      <c r="G46" s="10">
        <f>F46</f>
        <v/>
      </c>
    </row>
    <row r="47">
      <c r="A47" s="6" t="inlineStr">
        <is>
          <t>Total Liabilities</t>
        </is>
      </c>
      <c r="B47" s="10" t="n">
        <v>6102</v>
      </c>
      <c r="C47" s="10">
        <f>C43+C44+C45+C46</f>
        <v/>
      </c>
      <c r="D47" s="10">
        <f>D43+D44+D45+D46</f>
        <v/>
      </c>
      <c r="E47" s="10">
        <f>E43+E44+E45+E46</f>
        <v/>
      </c>
      <c r="F47" s="10">
        <f>F43+F44+F45+F46</f>
        <v/>
      </c>
      <c r="G47" s="10">
        <f>G43+G44+G45+G46</f>
        <v/>
      </c>
    </row>
    <row r="48">
      <c r="A48" s="3" t="inlineStr">
        <is>
          <t>Shareholders' Equity</t>
        </is>
      </c>
      <c r="B48" s="10" t="n">
        <v>1456</v>
      </c>
      <c r="C48" s="10">
        <f>B48+C32+C61+C62</f>
        <v/>
      </c>
      <c r="D48" s="10">
        <f>C48+D32+D61+D62</f>
        <v/>
      </c>
      <c r="E48" s="10">
        <f>D48+E32+E61+E62</f>
        <v/>
      </c>
      <c r="F48" s="10">
        <f>E48+F32+F61+F62</f>
        <v/>
      </c>
      <c r="G48" s="10">
        <f>F48+G32+G61+G62</f>
        <v/>
      </c>
    </row>
    <row r="49">
      <c r="A49" s="6" t="inlineStr">
        <is>
          <t>Total Liabilities &amp; Equity</t>
        </is>
      </c>
      <c r="B49" s="10" t="n">
        <v>7558</v>
      </c>
      <c r="C49" s="10">
        <f>C47+C48</f>
        <v/>
      </c>
      <c r="D49" s="10">
        <f>D47+D48</f>
        <v/>
      </c>
      <c r="E49" s="10">
        <f>E47+E48</f>
        <v/>
      </c>
      <c r="F49" s="10">
        <f>F47+F48</f>
        <v/>
      </c>
      <c r="G49" s="10">
        <f>G47+G48</f>
        <v/>
      </c>
    </row>
    <row r="50">
      <c r="A50" s="6" t="inlineStr">
        <is>
          <t>Balance Check (must be 0)</t>
        </is>
      </c>
      <c r="B50" s="10" t="n">
        <v>0</v>
      </c>
      <c r="C50" s="10">
        <f>C42-C49</f>
        <v/>
      </c>
      <c r="D50" s="10">
        <f>D42-D49</f>
        <v/>
      </c>
      <c r="E50" s="10">
        <f>E42-E49</f>
        <v/>
      </c>
      <c r="F50" s="10">
        <f>F42-F49</f>
        <v/>
      </c>
      <c r="G50" s="10">
        <f>G42-G49</f>
        <v/>
      </c>
    </row>
    <row r="51">
      <c r="A51" s="3" t="inlineStr">
        <is>
          <t>Shares Outstanding (M)</t>
        </is>
      </c>
      <c r="B51" s="11" t="n">
        <v>272.73</v>
      </c>
      <c r="C51" s="11">
        <f>B51*(1+C19)</f>
        <v/>
      </c>
      <c r="D51" s="11">
        <f>C51*(1+D19)</f>
        <v/>
      </c>
      <c r="E51" s="11">
        <f>D51*(1+E19)</f>
        <v/>
      </c>
      <c r="F51" s="11">
        <f>E51*(1+F19)</f>
        <v/>
      </c>
      <c r="G51" s="11">
        <f>F51*(1+G19)</f>
        <v/>
      </c>
    </row>
    <row r="53">
      <c r="A53" s="4" t="inlineStr">
        <is>
          <t>CASH FLOW (summary, derived from IS &amp; BS)</t>
        </is>
      </c>
      <c r="B53" s="5" t="n"/>
      <c r="C53" s="5" t="n"/>
      <c r="D53" s="5" t="n"/>
      <c r="E53" s="5" t="n"/>
      <c r="F53" s="5" t="n"/>
      <c r="G53" s="5" t="n"/>
    </row>
    <row r="54">
      <c r="A54" s="3" t="inlineStr">
        <is>
          <t>Net Income</t>
        </is>
      </c>
      <c r="B54" s="10" t="n">
        <v>1309</v>
      </c>
      <c r="C54" s="10">
        <f>C32</f>
        <v/>
      </c>
      <c r="D54" s="10">
        <f>D32</f>
        <v/>
      </c>
      <c r="E54" s="10">
        <f>E32</f>
        <v/>
      </c>
      <c r="F54" s="10">
        <f>F32</f>
        <v/>
      </c>
      <c r="G54" s="10">
        <f>G32</f>
        <v/>
      </c>
    </row>
    <row r="55">
      <c r="A55" s="3" t="inlineStr">
        <is>
          <t>+ Depreciation &amp; Amortization</t>
        </is>
      </c>
      <c r="B55" s="10" t="n">
        <v>429</v>
      </c>
      <c r="C55" s="10">
        <f>C26</f>
        <v/>
      </c>
      <c r="D55" s="10">
        <f>D26</f>
        <v/>
      </c>
      <c r="E55" s="10">
        <f>E26</f>
        <v/>
      </c>
      <c r="F55" s="10">
        <f>F26</f>
        <v/>
      </c>
      <c r="G55" s="10">
        <f>G26</f>
        <v/>
      </c>
    </row>
    <row r="56">
      <c r="A56" s="3" t="inlineStr">
        <is>
          <t>- Increase in Net Working Capital</t>
        </is>
      </c>
      <c r="C56" s="10">
        <f>-((C39-C43)-(B39-B43))</f>
        <v/>
      </c>
      <c r="D56" s="10">
        <f>-((D39-D43)-(C39-C43))</f>
        <v/>
      </c>
      <c r="E56" s="10">
        <f>-((E39-E43)-(D39-D43))</f>
        <v/>
      </c>
      <c r="F56" s="10">
        <f>-((F39-F43)-(E39-E43))</f>
        <v/>
      </c>
      <c r="G56" s="10">
        <f>-((G39-G43)-(F39-F43))</f>
        <v/>
      </c>
    </row>
    <row r="57">
      <c r="A57" s="6" t="inlineStr">
        <is>
          <t>Operating Cash Flow</t>
        </is>
      </c>
      <c r="B57" s="10" t="n">
        <v>1761</v>
      </c>
      <c r="C57" s="10">
        <f>SUM(C54:C56)</f>
        <v/>
      </c>
      <c r="D57" s="10">
        <f>SUM(D54:D56)</f>
        <v/>
      </c>
      <c r="E57" s="10">
        <f>SUM(E54:E56)</f>
        <v/>
      </c>
      <c r="F57" s="10">
        <f>SUM(F54:F56)</f>
        <v/>
      </c>
      <c r="G57" s="10">
        <f>SUM(G54:G56)</f>
        <v/>
      </c>
    </row>
    <row r="58">
      <c r="A58" s="3" t="inlineStr">
        <is>
          <t>Capital Expenditures</t>
        </is>
      </c>
      <c r="B58" s="10" t="n">
        <v>-248.75</v>
      </c>
      <c r="C58" s="10">
        <f>-C22*C9</f>
        <v/>
      </c>
      <c r="D58" s="10">
        <f>-D22*D9</f>
        <v/>
      </c>
      <c r="E58" s="10">
        <f>-E22*E9</f>
        <v/>
      </c>
      <c r="F58" s="10">
        <f>-F22*F9</f>
        <v/>
      </c>
      <c r="G58" s="10">
        <f>-G22*G9</f>
        <v/>
      </c>
    </row>
    <row r="59">
      <c r="A59" s="6" t="inlineStr">
        <is>
          <t>Free Cash Flow (pre-lease payments)</t>
        </is>
      </c>
      <c r="C59" s="10">
        <f>C57+C58</f>
        <v/>
      </c>
      <c r="D59" s="10">
        <f>D57+D58</f>
        <v/>
      </c>
      <c r="E59" s="10">
        <f>E57+E58</f>
        <v/>
      </c>
      <c r="F59" s="10">
        <f>F57+F58</f>
        <v/>
      </c>
      <c r="G59" s="10">
        <f>G57+G58</f>
        <v/>
      </c>
    </row>
    <row r="60">
      <c r="A60" s="3" t="inlineStr">
        <is>
          <t>Lease Payments</t>
        </is>
      </c>
      <c r="B60" s="10" t="n">
        <v>-390.33</v>
      </c>
      <c r="C60" s="10">
        <f>B60*(1+C18)</f>
        <v/>
      </c>
      <c r="D60" s="10">
        <f>C60*(1+D18)</f>
        <v/>
      </c>
      <c r="E60" s="10">
        <f>D60*(1+E18)</f>
        <v/>
      </c>
      <c r="F60" s="10">
        <f>E60*(1+F18)</f>
        <v/>
      </c>
      <c r="G60" s="10">
        <f>F60*(1+G18)</f>
        <v/>
      </c>
    </row>
    <row r="61">
      <c r="A61" s="3" t="inlineStr">
        <is>
          <t>Dividends Paid</t>
        </is>
      </c>
      <c r="B61" s="10" t="n">
        <v>-113.2</v>
      </c>
      <c r="C61" s="10">
        <f>-C32*C16</f>
        <v/>
      </c>
      <c r="D61" s="10">
        <f>-D32*D16</f>
        <v/>
      </c>
      <c r="E61" s="10">
        <f>-E32*E16</f>
        <v/>
      </c>
      <c r="F61" s="10">
        <f>-F32*F16</f>
        <v/>
      </c>
      <c r="G61" s="10">
        <f>-G32*G16</f>
        <v/>
      </c>
    </row>
    <row r="62">
      <c r="A62" s="3" t="inlineStr">
        <is>
          <t>Share Buybacks</t>
        </is>
      </c>
      <c r="B62" s="10" t="n">
        <v>-864.38</v>
      </c>
      <c r="C62" s="10">
        <f>-C17</f>
        <v/>
      </c>
      <c r="D62" s="10">
        <f>-D17</f>
        <v/>
      </c>
      <c r="E62" s="10">
        <f>-E17</f>
        <v/>
      </c>
      <c r="F62" s="10">
        <f>-F17</f>
        <v/>
      </c>
      <c r="G62" s="10">
        <f>-G17</f>
        <v/>
      </c>
    </row>
    <row r="63">
      <c r="A63" s="3" t="inlineStr">
        <is>
          <t>Change in Cash (check vs BS)</t>
        </is>
      </c>
      <c r="C63" s="10">
        <f>C59+(C45-B45)-C22*C12+C61+C62-(C38-B38)</f>
        <v/>
      </c>
      <c r="D63" s="10">
        <f>D59+(D45-C45)-D22*D12+D61+D62-(D38-C38)</f>
        <v/>
      </c>
      <c r="E63" s="10">
        <f>E59+(E45-D45)-E22*E12+E61+E62-(E38-D38)</f>
        <v/>
      </c>
      <c r="F63" s="10">
        <f>F59+(F45-E45)-F22*F12+F61+F62-(F38-E38)</f>
        <v/>
      </c>
      <c r="G63" s="10">
        <f>G59+(G45-F45)-G22*G12+G61+G62-(G38-F38)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Dollarama — DCF Valuation (FCFF, leases treated as debt)</t>
        </is>
      </c>
    </row>
    <row r="3">
      <c r="A3" s="4" t="inlineStr">
        <is>
          <t>WACC BUILD — inputs are stated assumptions (yellow)</t>
        </is>
      </c>
      <c r="B3" s="5" t="n"/>
      <c r="C3" s="5" t="n"/>
    </row>
    <row r="4">
      <c r="A4" s="3" t="inlineStr">
        <is>
          <t>Risk-free rate (GoC 10Y, assumption)</t>
        </is>
      </c>
      <c r="B4" s="14" t="n">
        <v>0.034</v>
      </c>
    </row>
    <row r="5">
      <c r="A5" s="3" t="inlineStr">
        <is>
          <t>Beta (analyst assumption — defensive retailer)</t>
        </is>
      </c>
      <c r="B5" s="16" t="n">
        <v>0.6</v>
      </c>
    </row>
    <row r="6">
      <c r="A6" s="3" t="inlineStr">
        <is>
          <t>Equity risk premium (assumption)</t>
        </is>
      </c>
      <c r="B6" s="14" t="n">
        <v>0.05</v>
      </c>
    </row>
    <row r="7">
      <c r="A7" s="3" t="inlineStr">
        <is>
          <t>Cost of equity (CAPM)</t>
        </is>
      </c>
      <c r="B7" s="12">
        <f>B4+B5*B6</f>
        <v/>
      </c>
    </row>
    <row r="8">
      <c r="A8" s="3" t="inlineStr">
        <is>
          <t>Pre-tax cost of debt (assumption)</t>
        </is>
      </c>
      <c r="B8" s="14" t="n">
        <v>0.043</v>
      </c>
    </row>
    <row r="9">
      <c r="A9" s="3" t="inlineStr">
        <is>
          <t>Tax rate</t>
        </is>
      </c>
      <c r="B9" s="14" t="n">
        <v>0.258</v>
      </c>
    </row>
    <row r="10">
      <c r="A10" s="3" t="inlineStr">
        <is>
          <t>After-tax cost of debt</t>
        </is>
      </c>
      <c r="B10" s="12">
        <f>B8*(1-B9)</f>
        <v/>
      </c>
    </row>
    <row r="11">
      <c r="A11" s="3" t="inlineStr">
        <is>
          <t>Market value of equity ($M, Oct 2026)</t>
        </is>
      </c>
      <c r="B11" s="10" t="n">
        <v>54906</v>
      </c>
    </row>
    <row r="12">
      <c r="A12" s="3" t="inlineStr">
        <is>
          <t>Total debt incl. leases ($M, FY2026)</t>
        </is>
      </c>
      <c r="B12" s="10" t="n">
        <v>5396</v>
      </c>
    </row>
    <row r="13">
      <c r="A13" s="3" t="inlineStr">
        <is>
          <t>Weight of equity</t>
        </is>
      </c>
      <c r="B13" s="12">
        <f>B11/(B11+B12)</f>
        <v/>
      </c>
    </row>
    <row r="14">
      <c r="A14" s="3" t="inlineStr">
        <is>
          <t>Weight of debt</t>
        </is>
      </c>
      <c r="B14" s="12">
        <f>B12/(B11+B12)</f>
        <v/>
      </c>
    </row>
    <row r="15">
      <c r="A15" s="3" t="inlineStr">
        <is>
          <t>WACC</t>
        </is>
      </c>
      <c r="B15" s="12">
        <f>B13*B7+B14*B10</f>
        <v/>
      </c>
    </row>
    <row r="17">
      <c r="A17" s="4" t="inlineStr">
        <is>
          <t>DCF</t>
        </is>
      </c>
      <c r="C17" s="9" t="inlineStr">
        <is>
          <t>FY 2027E</t>
        </is>
      </c>
      <c r="D17" s="9" t="inlineStr">
        <is>
          <t>FY 2028E</t>
        </is>
      </c>
      <c r="E17" s="9" t="inlineStr">
        <is>
          <t>FY 2029E</t>
        </is>
      </c>
      <c r="F17" s="9" t="inlineStr">
        <is>
          <t>FY 2030E</t>
        </is>
      </c>
      <c r="G17" s="9" t="inlineStr">
        <is>
          <t>FY 2031E</t>
        </is>
      </c>
    </row>
    <row r="18">
      <c r="A18" s="3" t="inlineStr">
        <is>
          <t>Free Cash Flow to Firm (EBIT(1-t) + D&amp;A - Capex - ΔWC)</t>
        </is>
      </c>
      <c r="C18" s="10">
        <f>('Forecast &amp; 3-Statement'!C27*(1-'Forecast &amp; 3-Statement'!C13)+'Forecast &amp; 3-Statement'!C26+'Forecast &amp; 3-Statement'!C58+'Forecast &amp; 3-Statement'!C56)</f>
        <v/>
      </c>
      <c r="D18" s="10">
        <f>('Forecast &amp; 3-Statement'!D27*(1-'Forecast &amp; 3-Statement'!D13)+'Forecast &amp; 3-Statement'!D26+'Forecast &amp; 3-Statement'!D58+'Forecast &amp; 3-Statement'!D56)</f>
        <v/>
      </c>
      <c r="E18" s="10">
        <f>('Forecast &amp; 3-Statement'!E27*(1-'Forecast &amp; 3-Statement'!E13)+'Forecast &amp; 3-Statement'!E26+'Forecast &amp; 3-Statement'!E58+'Forecast &amp; 3-Statement'!E56)</f>
        <v/>
      </c>
      <c r="F18" s="10">
        <f>('Forecast &amp; 3-Statement'!F27*(1-'Forecast &amp; 3-Statement'!F13)+'Forecast &amp; 3-Statement'!F26+'Forecast &amp; 3-Statement'!F58+'Forecast &amp; 3-Statement'!F56)</f>
        <v/>
      </c>
      <c r="G18" s="10">
        <f>('Forecast &amp; 3-Statement'!G27*(1-'Forecast &amp; 3-Statement'!G13)+'Forecast &amp; 3-Statement'!G26+'Forecast &amp; 3-Statement'!G58+'Forecast &amp; 3-Statement'!G56)</f>
        <v/>
      </c>
    </row>
    <row r="19">
      <c r="A19" s="3" t="inlineStr">
        <is>
          <t>Discount years</t>
        </is>
      </c>
      <c r="C19" s="17" t="n">
        <v>1</v>
      </c>
      <c r="D19" s="17" t="n">
        <v>2</v>
      </c>
      <c r="E19" s="17" t="n">
        <v>3</v>
      </c>
      <c r="F19" s="17" t="n">
        <v>4</v>
      </c>
      <c r="G19" s="17" t="n">
        <v>5</v>
      </c>
    </row>
    <row r="20">
      <c r="A20" s="3" t="inlineStr">
        <is>
          <t>Discount factor</t>
        </is>
      </c>
      <c r="C20" s="18">
        <f>1/(1+$B15)^C19</f>
        <v/>
      </c>
      <c r="D20" s="18">
        <f>1/(1+$B15)^D19</f>
        <v/>
      </c>
      <c r="E20" s="18">
        <f>1/(1+$B15)^E19</f>
        <v/>
      </c>
      <c r="F20" s="18">
        <f>1/(1+$B15)^F19</f>
        <v/>
      </c>
      <c r="G20" s="18">
        <f>1/(1+$B15)^G19</f>
        <v/>
      </c>
    </row>
    <row r="21">
      <c r="A21" s="3" t="inlineStr">
        <is>
          <t>PV of FCFF</t>
        </is>
      </c>
      <c r="C21" s="10">
        <f>C18*C20</f>
        <v/>
      </c>
      <c r="D21" s="10">
        <f>D18*D20</f>
        <v/>
      </c>
      <c r="E21" s="10">
        <f>E18*E20</f>
        <v/>
      </c>
      <c r="F21" s="10">
        <f>F18*F20</f>
        <v/>
      </c>
      <c r="G21" s="10">
        <f>G18*G20</f>
        <v/>
      </c>
    </row>
    <row r="23">
      <c r="A23" s="3" t="inlineStr">
        <is>
          <t>PV of FCFF FY2027E–FY2031E</t>
        </is>
      </c>
      <c r="B23" s="10">
        <f>SUM(C21:G21)</f>
        <v/>
      </c>
    </row>
    <row r="24">
      <c r="A24" s="3" t="inlineStr">
        <is>
          <t>Terminal growth rate (assumption)</t>
        </is>
      </c>
      <c r="B24" s="14" t="n">
        <v>0.025</v>
      </c>
    </row>
    <row r="25">
      <c r="A25" s="3" t="inlineStr">
        <is>
          <t>Terminal value</t>
        </is>
      </c>
      <c r="B25" s="10">
        <f>G18*(1+B24)/(B15-B24)</f>
        <v/>
      </c>
    </row>
    <row r="26">
      <c r="A26" s="3" t="inlineStr">
        <is>
          <t>PV of terminal value</t>
        </is>
      </c>
      <c r="B26" s="10">
        <f>B25*G20</f>
        <v/>
      </c>
    </row>
    <row r="27">
      <c r="A27" s="3" t="inlineStr">
        <is>
          <t>Enterprise value</t>
        </is>
      </c>
      <c r="B27" s="10">
        <f>B23+B26</f>
        <v/>
      </c>
    </row>
    <row r="28">
      <c r="A28" s="3" t="inlineStr">
        <is>
          <t>Less: net debt incl. leases (FY2026 total debt 5,396 - cash 340)</t>
        </is>
      </c>
      <c r="B28" s="10" t="n">
        <v>-5056</v>
      </c>
    </row>
    <row r="29">
      <c r="A29" s="3" t="inlineStr">
        <is>
          <t>Equity value</t>
        </is>
      </c>
      <c r="B29" s="10">
        <f>B27+B28</f>
        <v/>
      </c>
    </row>
    <row r="30">
      <c r="A30" s="3" t="inlineStr">
        <is>
          <t>Shares outstanding (M)</t>
        </is>
      </c>
      <c r="B30" s="11" t="n">
        <v>272.73</v>
      </c>
    </row>
    <row r="31">
      <c r="A31" s="6" t="inlineStr">
        <is>
          <t>Implied share price (CAD)</t>
        </is>
      </c>
      <c r="B31" s="11">
        <f>B29*1000000/(B30*1000000)</f>
        <v/>
      </c>
    </row>
    <row r="32">
      <c r="A32" s="3" t="inlineStr">
        <is>
          <t>Implied upside/(downside) vs $204.59</t>
        </is>
      </c>
      <c r="B32" s="12">
        <f>B31/204.59-1</f>
        <v/>
      </c>
    </row>
    <row r="34">
      <c r="A34" s="4" t="inlineStr">
        <is>
          <t>SENSITIVITY — Implied share price (CAD): WACC (rows) vs terminal growth (columns)</t>
        </is>
      </c>
      <c r="B34" s="5" t="n"/>
      <c r="C34" s="5" t="n"/>
      <c r="D34" s="5" t="n"/>
      <c r="E34" s="5" t="n"/>
      <c r="F34" s="5" t="n"/>
      <c r="G34" s="5" t="n"/>
    </row>
    <row r="35">
      <c r="A35" s="3" t="inlineStr">
        <is>
          <t>WACC \ g</t>
        </is>
      </c>
      <c r="B35" s="19" t="n">
        <v>0.015</v>
      </c>
      <c r="C35" s="19" t="n">
        <v>0.02</v>
      </c>
      <c r="D35" s="19" t="n">
        <v>0.025</v>
      </c>
      <c r="E35" s="19" t="n">
        <v>0.03</v>
      </c>
      <c r="F35" s="19" t="n">
        <v>0.035</v>
      </c>
    </row>
    <row r="36">
      <c r="A36" s="19" t="n">
        <v>0.051</v>
      </c>
      <c r="B36" s="11">
        <f>(C18/(1+0.051)^1+D18/(1+0.051)^2+E18/(1+0.051)^3+F18/(1+0.051)^4+G18/(1+0.051)^5+(G18*(1+0.015)/(0.051-0.015))/(1+0.051)^5-5056)/272.73</f>
        <v/>
      </c>
      <c r="C36" s="11">
        <f>(C18/(1+0.051)^1+D18/(1+0.051)^2+E18/(1+0.051)^3+F18/(1+0.051)^4+G18/(1+0.051)^5+(G18*(1+0.02)/(0.051-0.02))/(1+0.051)^5-5056)/272.73</f>
        <v/>
      </c>
      <c r="D36" s="11">
        <f>(C18/(1+0.051)^1+D18/(1+0.051)^2+E18/(1+0.051)^3+F18/(1+0.051)^4+G18/(1+0.051)^5+(G18*(1+0.025)/(0.051-0.025))/(1+0.051)^5-5056)/272.73</f>
        <v/>
      </c>
      <c r="E36" s="11">
        <f>(C18/(1+0.051)^1+D18/(1+0.051)^2+E18/(1+0.051)^3+F18/(1+0.051)^4+G18/(1+0.051)^5+(G18*(1+0.03)/(0.051-0.03))/(1+0.051)^5-5056)/272.73</f>
        <v/>
      </c>
      <c r="F36" s="11">
        <f>(C18/(1+0.051)^1+D18/(1+0.051)^2+E18/(1+0.051)^3+F18/(1+0.051)^4+G18/(1+0.051)^5+(G18*(1+0.035)/(0.051-0.035))/(1+0.051)^5-5056)/272.73</f>
        <v/>
      </c>
    </row>
    <row r="37">
      <c r="A37" s="19" t="n">
        <v>0.056</v>
      </c>
      <c r="B37" s="11">
        <f>(C18/(1+0.056)^1+D18/(1+0.056)^2+E18/(1+0.056)^3+F18/(1+0.056)^4+G18/(1+0.056)^5+(G18*(1+0.015)/(0.056-0.015))/(1+0.056)^5-5056)/272.73</f>
        <v/>
      </c>
      <c r="C37" s="11">
        <f>(C18/(1+0.056)^1+D18/(1+0.056)^2+E18/(1+0.056)^3+F18/(1+0.056)^4+G18/(1+0.056)^5+(G18*(1+0.02)/(0.056-0.02))/(1+0.056)^5-5056)/272.73</f>
        <v/>
      </c>
      <c r="D37" s="11">
        <f>(C18/(1+0.056)^1+D18/(1+0.056)^2+E18/(1+0.056)^3+F18/(1+0.056)^4+G18/(1+0.056)^5+(G18*(1+0.025)/(0.056-0.025))/(1+0.056)^5-5056)/272.73</f>
        <v/>
      </c>
      <c r="E37" s="11">
        <f>(C18/(1+0.056)^1+D18/(1+0.056)^2+E18/(1+0.056)^3+F18/(1+0.056)^4+G18/(1+0.056)^5+(G18*(1+0.03)/(0.056-0.03))/(1+0.056)^5-5056)/272.73</f>
        <v/>
      </c>
      <c r="F37" s="11">
        <f>(C18/(1+0.056)^1+D18/(1+0.056)^2+E18/(1+0.056)^3+F18/(1+0.056)^4+G18/(1+0.056)^5+(G18*(1+0.035)/(0.056-0.035))/(1+0.056)^5-5056)/272.73</f>
        <v/>
      </c>
    </row>
    <row r="38">
      <c r="A38" s="19" t="n">
        <v>0.061</v>
      </c>
      <c r="B38" s="11">
        <f>(C18/(1+0.061)^1+D18/(1+0.061)^2+E18/(1+0.061)^3+F18/(1+0.061)^4+G18/(1+0.061)^5+(G18*(1+0.015)/(0.061-0.015))/(1+0.061)^5-5056)/272.73</f>
        <v/>
      </c>
      <c r="C38" s="11">
        <f>(C18/(1+0.061)^1+D18/(1+0.061)^2+E18/(1+0.061)^3+F18/(1+0.061)^4+G18/(1+0.061)^5+(G18*(1+0.02)/(0.061-0.02))/(1+0.061)^5-5056)/272.73</f>
        <v/>
      </c>
      <c r="D38" s="11">
        <f>(C18/(1+0.061)^1+D18/(1+0.061)^2+E18/(1+0.061)^3+F18/(1+0.061)^4+G18/(1+0.061)^5+(G18*(1+0.025)/(0.061-0.025))/(1+0.061)^5-5056)/272.73</f>
        <v/>
      </c>
      <c r="E38" s="11">
        <f>(C18/(1+0.061)^1+D18/(1+0.061)^2+E18/(1+0.061)^3+F18/(1+0.061)^4+G18/(1+0.061)^5+(G18*(1+0.03)/(0.061-0.03))/(1+0.061)^5-5056)/272.73</f>
        <v/>
      </c>
      <c r="F38" s="11">
        <f>(C18/(1+0.061)^1+D18/(1+0.061)^2+E18/(1+0.061)^3+F18/(1+0.061)^4+G18/(1+0.061)^5+(G18*(1+0.035)/(0.061-0.035))/(1+0.061)^5-5056)/272.73</f>
        <v/>
      </c>
    </row>
    <row r="39">
      <c r="A39" s="19" t="n">
        <v>0.066</v>
      </c>
      <c r="B39" s="11">
        <f>(C18/(1+0.066)^1+D18/(1+0.066)^2+E18/(1+0.066)^3+F18/(1+0.066)^4+G18/(1+0.066)^5+(G18*(1+0.015)/(0.066-0.015))/(1+0.066)^5-5056)/272.73</f>
        <v/>
      </c>
      <c r="C39" s="11">
        <f>(C18/(1+0.066)^1+D18/(1+0.066)^2+E18/(1+0.066)^3+F18/(1+0.066)^4+G18/(1+0.066)^5+(G18*(1+0.02)/(0.066-0.02))/(1+0.066)^5-5056)/272.73</f>
        <v/>
      </c>
      <c r="D39" s="11">
        <f>(C18/(1+0.066)^1+D18/(1+0.066)^2+E18/(1+0.066)^3+F18/(1+0.066)^4+G18/(1+0.066)^5+(G18*(1+0.025)/(0.066-0.025))/(1+0.066)^5-5056)/272.73</f>
        <v/>
      </c>
      <c r="E39" s="11">
        <f>(C18/(1+0.066)^1+D18/(1+0.066)^2+E18/(1+0.066)^3+F18/(1+0.066)^4+G18/(1+0.066)^5+(G18*(1+0.03)/(0.066-0.03))/(1+0.066)^5-5056)/272.73</f>
        <v/>
      </c>
      <c r="F39" s="11">
        <f>(C18/(1+0.066)^1+D18/(1+0.066)^2+E18/(1+0.066)^3+F18/(1+0.066)^4+G18/(1+0.066)^5+(G18*(1+0.035)/(0.066-0.035))/(1+0.066)^5-5056)/272.73</f>
        <v/>
      </c>
    </row>
    <row r="40">
      <c r="A40" s="19" t="n">
        <v>0.07099999999999999</v>
      </c>
      <c r="B40" s="11">
        <f>(C18/(1+0.071)^1+D18/(1+0.071)^2+E18/(1+0.071)^3+F18/(1+0.071)^4+G18/(1+0.071)^5+(G18*(1+0.015)/(0.071-0.015))/(1+0.071)^5-5056)/272.73</f>
        <v/>
      </c>
      <c r="C40" s="11">
        <f>(C18/(1+0.071)^1+D18/(1+0.071)^2+E18/(1+0.071)^3+F18/(1+0.071)^4+G18/(1+0.071)^5+(G18*(1+0.02)/(0.071-0.02))/(1+0.071)^5-5056)/272.73</f>
        <v/>
      </c>
      <c r="D40" s="11">
        <f>(C18/(1+0.071)^1+D18/(1+0.071)^2+E18/(1+0.071)^3+F18/(1+0.071)^4+G18/(1+0.071)^5+(G18*(1+0.025)/(0.071-0.025))/(1+0.071)^5-5056)/272.73</f>
        <v/>
      </c>
      <c r="E40" s="11">
        <f>(C18/(1+0.071)^1+D18/(1+0.071)^2+E18/(1+0.071)^3+F18/(1+0.071)^4+G18/(1+0.071)^5+(G18*(1+0.03)/(0.071-0.03))/(1+0.071)^5-5056)/272.73</f>
        <v/>
      </c>
      <c r="F40" s="11">
        <f>(C18/(1+0.071)^1+D18/(1+0.071)^2+E18/(1+0.071)^3+F18/(1+0.071)^4+G18/(1+0.071)^5+(G18*(1+0.035)/(0.071-0.035))/(1+0.071)^5-5056)/272.73</f>
        <v/>
      </c>
    </row>
    <row r="42">
      <c r="A42" s="4" t="inlineStr">
        <is>
          <t>FOOTBALL FIELD (CAD per share)</t>
        </is>
      </c>
      <c r="B42" s="5" t="n"/>
      <c r="C42" s="5" t="n"/>
      <c r="D42" s="5" t="n"/>
    </row>
    <row r="43">
      <c r="A43" s="3" t="inlineStr">
        <is>
          <t>DCF — sensitivity range (WACC 5.6–6.6%, g 2.0–3.0%)</t>
        </is>
      </c>
      <c r="B43" s="11">
        <f>C39</f>
        <v/>
      </c>
      <c r="C43" s="11">
        <f>E37</f>
        <v/>
      </c>
    </row>
    <row r="44">
      <c r="A44" s="3" t="inlineStr">
        <is>
          <t>DCF — base case</t>
        </is>
      </c>
      <c r="B44" s="11">
        <f>B31</f>
        <v/>
      </c>
      <c r="C44" s="11">
        <f>B31</f>
        <v/>
      </c>
    </row>
    <row r="45">
      <c r="A45" s="3" t="inlineStr">
        <is>
          <t>52-week trading range (Oct 2026)</t>
        </is>
      </c>
      <c r="B45" s="11" t="n">
        <v>163.25</v>
      </c>
      <c r="C45" s="11" t="n">
        <v>209.96</v>
      </c>
    </row>
    <row r="46">
      <c r="A46" s="3" t="inlineStr">
        <is>
          <t>Current price (21 Oct 2026)</t>
        </is>
      </c>
      <c r="B46" s="11" t="n">
        <v>204.59</v>
      </c>
      <c r="C46" s="11" t="n">
        <v>204.59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4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</cols>
  <sheetData>
    <row r="1">
      <c r="A1" s="1" t="inlineStr">
        <is>
          <t>Trading Comparables — October 2026 (TTM; US peers in USD — ratios are currency-neutral)</t>
        </is>
      </c>
    </row>
    <row r="3">
      <c r="A3" s="4" t="inlineStr">
        <is>
          <t>Company</t>
        </is>
      </c>
      <c r="B3" s="9" t="inlineStr">
        <is>
          <t>P/E</t>
        </is>
      </c>
      <c r="C3" s="9" t="inlineStr">
        <is>
          <t>Forward P/E</t>
        </is>
      </c>
      <c r="D3" s="9" t="inlineStr">
        <is>
          <t>P/S</t>
        </is>
      </c>
      <c r="E3" s="9" t="inlineStr">
        <is>
          <t>P/FCF</t>
        </is>
      </c>
      <c r="F3" s="9" t="inlineStr">
        <is>
          <t>Gross Margin</t>
        </is>
      </c>
      <c r="G3" s="9" t="inlineStr">
        <is>
          <t>Operating Margin</t>
        </is>
      </c>
      <c r="H3" s="9" t="inlineStr">
        <is>
          <t>Net Margin</t>
        </is>
      </c>
      <c r="I3" s="9" t="inlineStr">
        <is>
          <t>Revenue Growth</t>
        </is>
      </c>
      <c r="J3" s="9" t="inlineStr">
        <is>
          <t>Dividend Yield</t>
        </is>
      </c>
    </row>
    <row r="4">
      <c r="A4" s="6" t="inlineStr">
        <is>
          <t>Dollarama (TSX: DOL)</t>
        </is>
      </c>
      <c r="B4" s="11" t="n">
        <v>41.05</v>
      </c>
      <c r="C4" s="11" t="n">
        <v>38.28</v>
      </c>
      <c r="D4" s="11" t="n">
        <v>6.96</v>
      </c>
      <c r="E4" s="11" t="n">
        <v>33.8</v>
      </c>
      <c r="F4" s="12" t="n">
        <v>0.4469</v>
      </c>
      <c r="G4" s="12" t="n">
        <v>0.2285</v>
      </c>
      <c r="H4" s="12" t="n">
        <v>0.1732</v>
      </c>
      <c r="I4" s="12" t="n">
        <v>0.1786</v>
      </c>
      <c r="J4" s="12" t="n">
        <v>0.0023</v>
      </c>
    </row>
    <row r="5">
      <c r="A5" s="3" t="inlineStr">
        <is>
          <t>Dollar General (NYSE: DG)</t>
        </is>
      </c>
      <c r="B5" s="11" t="n">
        <v>17.15</v>
      </c>
      <c r="C5" s="11" t="n">
        <v>16.53</v>
      </c>
      <c r="D5" s="11" t="n">
        <v>0.67</v>
      </c>
      <c r="E5" s="11" t="n">
        <v>14.5</v>
      </c>
      <c r="F5" s="12" t="n">
        <v>0.3116</v>
      </c>
      <c r="G5" s="12" t="n">
        <v>0.0572</v>
      </c>
      <c r="H5" s="12" t="n">
        <v>0.039</v>
      </c>
      <c r="I5" s="12" t="n">
        <v>0.04769999999999999</v>
      </c>
      <c r="J5" s="12" t="n">
        <v>0.0179</v>
      </c>
    </row>
    <row r="6">
      <c r="A6" s="3" t="inlineStr">
        <is>
          <t>Dollar Tree (NASDAQ: DLTR)</t>
        </is>
      </c>
      <c r="B6" s="11" t="n">
        <v>15.39</v>
      </c>
      <c r="C6" s="11" t="n">
        <v>18.24</v>
      </c>
      <c r="D6" s="11" t="n">
        <v>1.17</v>
      </c>
      <c r="E6" s="11" t="n">
        <v>11.9</v>
      </c>
      <c r="F6" s="12" t="n">
        <v>0.3718</v>
      </c>
      <c r="G6" s="12" t="n">
        <v>0.09029999999999999</v>
      </c>
      <c r="H6" s="12" t="n">
        <v>0.08039999999999999</v>
      </c>
      <c r="I6" s="12" t="n">
        <v>0.0818</v>
      </c>
      <c r="J6" s="12" t="n"/>
    </row>
    <row r="7">
      <c r="A7" s="3" t="inlineStr">
        <is>
          <t>Five Below (NASDAQ: FIVE)</t>
        </is>
      </c>
      <c r="B7" s="11" t="n">
        <v>20.12</v>
      </c>
      <c r="C7" s="11" t="n">
        <v>22.04</v>
      </c>
      <c r="D7" s="11" t="n">
        <v>2.32</v>
      </c>
      <c r="E7" s="11" t="n">
        <v>20.59</v>
      </c>
      <c r="F7" s="12" t="n">
        <v>0.3758</v>
      </c>
      <c r="G7" s="12" t="n">
        <v>0.1167</v>
      </c>
      <c r="H7" s="12" t="n">
        <v>0.1165</v>
      </c>
      <c r="I7" s="12" t="n">
        <v>0.2556</v>
      </c>
      <c r="J7" s="12" t="n"/>
    </row>
    <row r="8">
      <c r="A8" s="3" t="inlineStr">
        <is>
          <t>Loblaw (TSX: L)</t>
        </is>
      </c>
      <c r="B8" s="11" t="n">
        <v>28.86</v>
      </c>
      <c r="C8" s="11" t="n">
        <v>25.61</v>
      </c>
      <c r="D8" s="11" t="n">
        <v>1.21</v>
      </c>
      <c r="E8" s="11" t="n">
        <v>14.93</v>
      </c>
      <c r="F8" s="12" t="n">
        <v>0.3137</v>
      </c>
      <c r="G8" s="12" t="n">
        <v>0.0718</v>
      </c>
      <c r="H8" s="12" t="n">
        <v>0.0429</v>
      </c>
      <c r="I8" s="12" t="n">
        <v>0.0675</v>
      </c>
      <c r="J8" s="12" t="n">
        <v>0.0091</v>
      </c>
    </row>
    <row r="9">
      <c r="A9" s="3" t="inlineStr">
        <is>
          <t>Metro (TSX: MRU)</t>
        </is>
      </c>
      <c r="B9" s="11" t="n">
        <v>22.79</v>
      </c>
      <c r="C9" s="11" t="n">
        <v>18.64</v>
      </c>
      <c r="D9" s="11" t="n">
        <v>0.89</v>
      </c>
      <c r="E9" s="11" t="n">
        <v>16.77</v>
      </c>
      <c r="F9" s="12" t="n">
        <v>0.1946</v>
      </c>
      <c r="G9" s="12" t="n">
        <v>0.0625</v>
      </c>
      <c r="H9" s="12" t="n">
        <v>0.04</v>
      </c>
      <c r="I9" s="12" t="n">
        <v>0.0294</v>
      </c>
      <c r="J9" s="12" t="n">
        <v>0.017</v>
      </c>
    </row>
    <row r="10">
      <c r="A10" s="3" t="inlineStr">
        <is>
          <t>Couche-Tard (TSX: ATD)</t>
        </is>
      </c>
      <c r="B10" s="11" t="n">
        <v>17.25</v>
      </c>
      <c r="C10" s="11" t="n">
        <v>18.13</v>
      </c>
      <c r="D10" s="11" t="n">
        <v>0.68</v>
      </c>
      <c r="E10" s="11" t="n">
        <v>14.82</v>
      </c>
      <c r="F10" s="12" t="n">
        <v>0.1824</v>
      </c>
      <c r="G10" s="12" t="n">
        <v>0.0588</v>
      </c>
      <c r="H10" s="12" t="n">
        <v>0.0394</v>
      </c>
      <c r="I10" s="12" t="n">
        <v>0.1243</v>
      </c>
      <c r="J10" s="12" t="n">
        <v>0.0103</v>
      </c>
    </row>
    <row r="11">
      <c r="A11" s="6" t="inlineStr">
        <is>
          <t>Peer median (excl. Dollarama)</t>
        </is>
      </c>
      <c r="B11" s="20">
        <f>MEDIAN(B5:B10)</f>
        <v/>
      </c>
      <c r="C11" s="20">
        <f>MEDIAN(C5:C10)</f>
        <v/>
      </c>
      <c r="D11" s="20">
        <f>MEDIAN(D5:D10)</f>
        <v/>
      </c>
      <c r="E11" s="20">
        <f>MEDIAN(E5:E10)</f>
        <v/>
      </c>
      <c r="F11" s="19">
        <f>MEDIAN(F5:F10)</f>
        <v/>
      </c>
      <c r="G11" s="19">
        <f>MEDIAN(G5:G10)</f>
        <v/>
      </c>
      <c r="H11" s="19">
        <f>MEDIAN(H5:H10)</f>
        <v/>
      </c>
      <c r="I11" s="19">
        <f>MEDIAN(I5:I10)</f>
        <v/>
      </c>
      <c r="J11" s="19">
        <f>MEDIAN(J5:J10)</f>
        <v/>
      </c>
    </row>
    <row r="13">
      <c r="A13" s="2" t="inlineStr">
        <is>
          <t>Read: Dollarama has the group's best margins and among its fastest growth — and by far its highest multiples. The investment question is whether the quality justifies a P/E roughly double the peer median.</t>
        </is>
      </c>
    </row>
  </sheetData>
  <mergeCells count="1"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2026-10-22T02:11:43Z</dcterms:created>
  <dcterms:modified xmlns:dcterms="http://purl.org/dc/terms/" xmlns:xsi="http://www.w3.org/2001/XMLSchema-instance" xsi:type="dcterms:W3CDTF">2026-10-22T02:11:43Z</dcterms:modified>
</cp:coreProperties>
</file>